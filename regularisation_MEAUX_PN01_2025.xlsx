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 Site 2025" sheetId="1" state="visible" r:id="rId1"/>
    <sheet name="Récap MEAUX I 2025" sheetId="2" state="visible" r:id="rId2"/>
    <sheet name="Récap MEAUX II 2025" sheetId="3" state="visible" r:id="rId3"/>
    <sheet name="Paramètres" sheetId="4" state="visible" r:id="rId4"/>
    <sheet name="BAT 1 - MEAUX I" sheetId="5" state="visible" r:id="rId5"/>
    <sheet name="C1" sheetId="6" state="visible" r:id="rId6"/>
    <sheet name="C2" sheetId="7" state="visible" r:id="rId7"/>
    <sheet name="C3" sheetId="8" state="visible" r:id="rId8"/>
    <sheet name="C4" sheetId="9" state="visible" r:id="rId9"/>
    <sheet name="Vacance Locativ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&quot; €&quot;"/>
    <numFmt numFmtId="165" formatCode="DD/MM/YYYY"/>
    <numFmt numFmtId="166" formatCode="yyyy-mm-dd"/>
    <numFmt numFmtId="167" formatCode="0.0000"/>
    <numFmt numFmtId="168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AAAAAA"/>
      <sz val="9"/>
    </font>
    <font>
      <name val="Calibri"/>
      <b val="1"/>
      <color rgb="001B3A6B"/>
      <sz val="9"/>
    </font>
    <font>
      <name val="Calibri"/>
      <b val="1"/>
      <color rgb="00FFFFFF"/>
      <sz val="10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color rgb="00444444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D0DDEF"/>
      </patternFill>
    </fill>
    <fill>
      <patternFill patternType="solid">
        <fgColor rgb="FF2E5FA3"/>
      </patternFill>
    </fill>
    <fill>
      <patternFill patternType="solid">
        <fgColor rgb="FFF2F4F8"/>
      </patternFill>
    </fill>
    <fill>
      <patternFill patternType="solid">
        <fgColor rgb="FFD5F5E3"/>
      </patternFill>
    </fill>
    <fill>
      <patternFill patternType="solid">
        <fgColor rgb="FFFDECEA"/>
      </patternFill>
    </fill>
    <fill>
      <patternFill patternType="solid">
        <fgColor rgb="FF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164" fontId="7" fillId="2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/>
    </xf>
    <xf numFmtId="165" fontId="8" fillId="5" borderId="0" applyAlignment="1" pivotButton="0" quotePrefix="0" xfId="0">
      <alignment horizontal="center" vertical="center"/>
    </xf>
    <xf numFmtId="164" fontId="8" fillId="5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1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4" borderId="0" pivotButton="0" quotePrefix="0" xfId="0"/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13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8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4" fillId="8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/>
    </xf>
    <xf numFmtId="164" fontId="14" fillId="2" borderId="0" applyAlignment="1" pivotButton="0" quotePrefix="0" xfId="0">
      <alignment horizontal="right" vertical="center"/>
    </xf>
    <xf numFmtId="168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CHARGES SITE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CONTRAT MAINTENANCE ──</t>
        </is>
      </c>
    </row>
    <row r="5" ht="18" customHeight="1">
      <c r="A5" s="5" t="inlineStr">
        <is>
          <t xml:space="preserve">  Portails + Barrières automatiques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Portails + Barrières automatiques</t>
        </is>
      </c>
      <c r="E7" s="8" t="n">
        <v>550.66</v>
      </c>
    </row>
    <row r="8" ht="18" customHeight="1">
      <c r="A8" s="5" t="inlineStr">
        <is>
          <t xml:space="preserve">  Vérifications règlementaires</t>
        </is>
      </c>
    </row>
    <row r="9" ht="13.5" customHeight="1">
      <c r="D9" s="6" t="inlineStr">
        <is>
          <t>— Aucune facture —</t>
        </is>
      </c>
    </row>
    <row r="10" ht="15.8" customHeight="1">
      <c r="A10" s="7" t="inlineStr">
        <is>
          <t xml:space="preserve">    Sous-total — Vérifications règlementaires</t>
        </is>
      </c>
      <c r="E10" s="8" t="n">
        <v>4395</v>
      </c>
    </row>
    <row r="11" ht="21.75" customHeight="1">
      <c r="A11" s="4" t="inlineStr">
        <is>
          <t>── CHARGES NON RECUPERABLES ──</t>
        </is>
      </c>
    </row>
    <row r="12" ht="18" customHeight="1">
      <c r="A12" s="5" t="inlineStr">
        <is>
          <t xml:space="preserve">  Frais Bancaires</t>
        </is>
      </c>
    </row>
    <row r="13" ht="13.5" customHeight="1">
      <c r="D13" s="6" t="inlineStr">
        <is>
          <t>— Aucune facture —</t>
        </is>
      </c>
    </row>
    <row r="14" ht="15.8" customHeight="1">
      <c r="A14" s="7" t="inlineStr">
        <is>
          <t xml:space="preserve">    Sous-total — Frais Bancaires</t>
        </is>
      </c>
      <c r="E14" s="8" t="n">
        <v>28.97</v>
      </c>
    </row>
    <row r="15" ht="6" customHeight="1"/>
    <row r="16" ht="19.55" customHeight="1">
      <c r="A16" s="5" t="inlineStr">
        <is>
          <t>TOTAL — CHARGES NON RÉCUPÉRABLES</t>
        </is>
      </c>
      <c r="E16" s="9">
        <f>E14</f>
        <v/>
      </c>
    </row>
    <row r="17" ht="6" customHeight="1"/>
    <row r="18" ht="25.55" customHeight="1">
      <c r="A18" s="10" t="inlineStr">
        <is>
          <t>TOTAL GÉNÉRAL — CHARGES RÉCUPÉRABLES</t>
        </is>
      </c>
      <c r="E18" s="11">
        <f>E7+E10</f>
        <v/>
      </c>
    </row>
  </sheetData>
  <mergeCells count="9">
    <mergeCell ref="A18:D18"/>
    <mergeCell ref="A1:G1"/>
    <mergeCell ref="A4:G4"/>
    <mergeCell ref="A7:D7"/>
    <mergeCell ref="A2:G2"/>
    <mergeCell ref="A16:D16"/>
    <mergeCell ref="A10:D10"/>
    <mergeCell ref="A11:G11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Electricité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Electricité</t>
        </is>
      </c>
      <c r="E7" s="8" t="n">
        <v>1974.51</v>
      </c>
    </row>
    <row r="8" ht="21.75" customHeight="1">
      <c r="A8" s="4" t="inlineStr">
        <is>
          <t>── CONTRAT MAINTENANCE ──</t>
        </is>
      </c>
    </row>
    <row r="9" ht="18" customHeight="1">
      <c r="A9" s="5" t="inlineStr">
        <is>
          <t xml:space="preserve">  Vérifications règlementaires</t>
        </is>
      </c>
    </row>
    <row r="10" ht="13.5" customHeight="1">
      <c r="D10" s="6" t="inlineStr">
        <is>
          <t>— Aucune facture —</t>
        </is>
      </c>
    </row>
    <row r="11" ht="15.8" customHeight="1">
      <c r="A11" s="7" t="inlineStr">
        <is>
          <t xml:space="preserve">    Sous-total — Vérifications règlementaires</t>
        </is>
      </c>
      <c r="E11" s="8" t="n">
        <v>700</v>
      </c>
    </row>
    <row r="12" ht="21.75" customHeight="1">
      <c r="A12" s="4" t="inlineStr">
        <is>
          <t>── TAXES ──</t>
        </is>
      </c>
    </row>
    <row r="13" ht="18" customHeight="1">
      <c r="A13" s="5" t="inlineStr">
        <is>
          <t xml:space="preserve">  Taxe Bureau &amp; Stationnement</t>
        </is>
      </c>
    </row>
    <row r="14" ht="13.5" customHeight="1">
      <c r="D14" s="6" t="inlineStr">
        <is>
          <t>— Aucune facture —</t>
        </is>
      </c>
    </row>
    <row r="15" ht="15.8" customHeight="1">
      <c r="A15" s="7" t="inlineStr">
        <is>
          <t xml:space="preserve">    Sous-total — Taxe Bureau &amp; Stationnement</t>
        </is>
      </c>
      <c r="E15" s="8" t="n">
        <v>51423</v>
      </c>
    </row>
    <row r="16" ht="21.75" customHeight="1">
      <c r="A16" s="4" t="inlineStr">
        <is>
          <t>── CHARGES NON RECUPERABLES ──</t>
        </is>
      </c>
    </row>
    <row r="17" ht="18" customHeight="1">
      <c r="A17" s="5" t="inlineStr">
        <is>
          <t xml:space="preserve">  Entretien Courant</t>
        </is>
      </c>
    </row>
    <row r="18" ht="13.5" customHeight="1">
      <c r="D18" s="6" t="inlineStr">
        <is>
          <t>— Aucune facture —</t>
        </is>
      </c>
    </row>
    <row r="19" ht="15.8" customHeight="1">
      <c r="A19" s="7" t="inlineStr">
        <is>
          <t xml:space="preserve">    Sous-total — Entretien Courant</t>
        </is>
      </c>
      <c r="E19" s="8" t="n">
        <v>7115</v>
      </c>
    </row>
    <row r="20" ht="6" customHeight="1"/>
    <row r="21" ht="19.55" customHeight="1">
      <c r="A21" s="5" t="inlineStr">
        <is>
          <t>TOTAL — CHARGES NON RÉCUPÉRABLES</t>
        </is>
      </c>
      <c r="E21" s="9">
        <f>E19</f>
        <v/>
      </c>
    </row>
    <row r="22" ht="6" customHeight="1"/>
    <row r="23" ht="25.55" customHeight="1">
      <c r="A23" s="10" t="inlineStr">
        <is>
          <t>TOTAL GÉNÉRAL — CHARGES RÉCUPÉRABLES</t>
        </is>
      </c>
      <c r="E23" s="11">
        <f>E7+E11+E15</f>
        <v/>
      </c>
    </row>
  </sheetData>
  <mergeCells count="12">
    <mergeCell ref="A23:D23"/>
    <mergeCell ref="A1:G1"/>
    <mergeCell ref="A8:G8"/>
    <mergeCell ref="A12:G12"/>
    <mergeCell ref="A4:G4"/>
    <mergeCell ref="A21:D21"/>
    <mergeCell ref="A15:D15"/>
    <mergeCell ref="A7:D7"/>
    <mergeCell ref="A2:G2"/>
    <mergeCell ref="A16:G16"/>
    <mergeCell ref="A19:D19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Eau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Eau</t>
        </is>
      </c>
      <c r="E7" s="8" t="n">
        <v>8091.23</v>
      </c>
    </row>
    <row r="8" ht="18" customHeight="1">
      <c r="A8" s="5" t="inlineStr">
        <is>
          <t xml:space="preserve">  Eau - Incendie</t>
        </is>
      </c>
    </row>
    <row r="9" ht="13.5" customHeight="1">
      <c r="D9" s="6" t="inlineStr">
        <is>
          <t>— Aucune facture —</t>
        </is>
      </c>
    </row>
    <row r="10" ht="15.8" customHeight="1">
      <c r="A10" s="7" t="inlineStr">
        <is>
          <t xml:space="preserve">    Sous-total — Eau - Incendie</t>
        </is>
      </c>
      <c r="E10" s="8" t="n">
        <v>2472.06</v>
      </c>
    </row>
    <row r="11" ht="18" customHeight="1">
      <c r="A11" s="5" t="inlineStr">
        <is>
          <t xml:space="preserve">  Electricité</t>
        </is>
      </c>
    </row>
    <row r="12" ht="13.5" customHeight="1">
      <c r="D12" s="6" t="inlineStr">
        <is>
          <t>— Aucune facture —</t>
        </is>
      </c>
    </row>
    <row r="13" ht="15.8" customHeight="1">
      <c r="A13" s="7" t="inlineStr">
        <is>
          <t xml:space="preserve">    Sous-total — Electricité</t>
        </is>
      </c>
      <c r="E13" s="8" t="n">
        <v>46222.6</v>
      </c>
    </row>
    <row r="14" ht="18" customHeight="1">
      <c r="A14" s="5" t="inlineStr">
        <is>
          <t xml:space="preserve">  Gaz</t>
        </is>
      </c>
    </row>
    <row r="15" ht="13.5" customHeight="1">
      <c r="D15" s="6" t="inlineStr">
        <is>
          <t>— Aucune facture —</t>
        </is>
      </c>
    </row>
    <row r="16" ht="15.8" customHeight="1">
      <c r="A16" s="7" t="inlineStr">
        <is>
          <t xml:space="preserve">    Sous-total — Gaz</t>
        </is>
      </c>
      <c r="E16" s="8" t="n">
        <v>5477.910000000001</v>
      </c>
    </row>
    <row r="17" ht="21.75" customHeight="1">
      <c r="A17" s="4" t="inlineStr">
        <is>
          <t>── HONORAIRES ──</t>
        </is>
      </c>
    </row>
    <row r="18" ht="18" customHeight="1">
      <c r="A18" s="5" t="inlineStr">
        <is>
          <t xml:space="preserve">  Honoraires Divers</t>
        </is>
      </c>
    </row>
    <row r="19" ht="13.5" customHeight="1">
      <c r="D19" s="6" t="inlineStr">
        <is>
          <t>— Aucune facture —</t>
        </is>
      </c>
    </row>
    <row r="20" ht="15.8" customHeight="1">
      <c r="A20" s="7" t="inlineStr">
        <is>
          <t xml:space="preserve">    Sous-total — Honoraires Divers</t>
        </is>
      </c>
      <c r="E20" s="8" t="n">
        <v>700</v>
      </c>
    </row>
    <row r="21" ht="21.75" customHeight="1">
      <c r="A21" s="4" t="inlineStr">
        <is>
          <t>── TRAVAUX ──</t>
        </is>
      </c>
    </row>
    <row r="22" ht="18" customHeight="1">
      <c r="A22" s="5" t="inlineStr">
        <is>
          <t xml:space="preserve">  Entretien Courant</t>
        </is>
      </c>
    </row>
    <row r="23" ht="13.5" customHeight="1">
      <c r="D23" s="6" t="inlineStr">
        <is>
          <t>— Aucune facture —</t>
        </is>
      </c>
    </row>
    <row r="24" ht="15.8" customHeight="1">
      <c r="A24" s="7" t="inlineStr">
        <is>
          <t xml:space="preserve">    Sous-total — Entretien Courant</t>
        </is>
      </c>
      <c r="E24" s="8" t="n">
        <v>23248.79</v>
      </c>
    </row>
    <row r="25" ht="21.75" customHeight="1">
      <c r="A25" s="4" t="inlineStr">
        <is>
          <t>── CONTRAT MAINTENANCE ──</t>
        </is>
      </c>
    </row>
    <row r="26" ht="18" customHeight="1">
      <c r="A26" s="5" t="inlineStr">
        <is>
          <t xml:space="preserve">  Ascenseur</t>
        </is>
      </c>
    </row>
    <row r="27" ht="13.5" customHeight="1">
      <c r="D27" s="6" t="inlineStr">
        <is>
          <t>— Aucune facture —</t>
        </is>
      </c>
    </row>
    <row r="28" ht="15.8" customHeight="1">
      <c r="A28" s="7" t="inlineStr">
        <is>
          <t xml:space="preserve">    Sous-total — Ascenseur</t>
        </is>
      </c>
      <c r="E28" s="8" t="n">
        <v>131.67</v>
      </c>
    </row>
    <row r="29" ht="18" customHeight="1">
      <c r="A29" s="5" t="inlineStr">
        <is>
          <t xml:space="preserve">  Chaufferie</t>
        </is>
      </c>
    </row>
    <row r="30" ht="13.5" customHeight="1">
      <c r="D30" s="6" t="inlineStr">
        <is>
          <t>— Aucune facture —</t>
        </is>
      </c>
    </row>
    <row r="31" ht="15.8" customHeight="1">
      <c r="A31" s="7" t="inlineStr">
        <is>
          <t xml:space="preserve">    Sous-total — Chaufferie</t>
        </is>
      </c>
      <c r="E31" s="8" t="n">
        <v>4977.6</v>
      </c>
    </row>
    <row r="32" ht="18" customHeight="1">
      <c r="A32" s="5" t="inlineStr">
        <is>
          <t xml:space="preserve">  Désenfumage</t>
        </is>
      </c>
    </row>
    <row r="33" ht="13.5" customHeight="1">
      <c r="D33" s="6" t="inlineStr">
        <is>
          <t>— Aucune facture —</t>
        </is>
      </c>
    </row>
    <row r="34" ht="15.8" customHeight="1">
      <c r="A34" s="7" t="inlineStr">
        <is>
          <t xml:space="preserve">    Sous-total — Désenfumage</t>
        </is>
      </c>
      <c r="E34" s="8" t="n">
        <v>3978</v>
      </c>
    </row>
    <row r="35" ht="18" customHeight="1">
      <c r="A35" s="5" t="inlineStr">
        <is>
          <t xml:space="preserve">  Espaces verts</t>
        </is>
      </c>
    </row>
    <row r="36" ht="13.5" customHeight="1">
      <c r="D36" s="6" t="inlineStr">
        <is>
          <t>— Aucune facture —</t>
        </is>
      </c>
    </row>
    <row r="37" ht="15.8" customHeight="1">
      <c r="A37" s="7" t="inlineStr">
        <is>
          <t xml:space="preserve">    Sous-total — Espaces verts</t>
        </is>
      </c>
      <c r="E37" s="8" t="n">
        <v>11681.28</v>
      </c>
    </row>
    <row r="38" ht="18" customHeight="1">
      <c r="A38" s="5" t="inlineStr">
        <is>
          <t xml:space="preserve">  Portails + Barrières automatiques</t>
        </is>
      </c>
    </row>
    <row r="39" ht="13.5" customHeight="1">
      <c r="D39" s="6" t="inlineStr">
        <is>
          <t>— Aucune facture —</t>
        </is>
      </c>
    </row>
    <row r="40" ht="15.8" customHeight="1">
      <c r="A40" s="7" t="inlineStr">
        <is>
          <t xml:space="preserve">    Sous-total — Portails + Barrières automatiques</t>
        </is>
      </c>
      <c r="E40" s="8" t="n">
        <v>1993.75</v>
      </c>
    </row>
    <row r="41" ht="18" customHeight="1">
      <c r="A41" s="5" t="inlineStr">
        <is>
          <t xml:space="preserve">  Portes Coupe-Feu</t>
        </is>
      </c>
    </row>
    <row r="42" ht="13.5" customHeight="1">
      <c r="D42" s="6" t="inlineStr">
        <is>
          <t>— Aucune facture —</t>
        </is>
      </c>
    </row>
    <row r="43" ht="15.8" customHeight="1">
      <c r="A43" s="7" t="inlineStr">
        <is>
          <t xml:space="preserve">    Sous-total — Portes Coupe-Feu</t>
        </is>
      </c>
      <c r="E43" s="8" t="n">
        <v>2068.74</v>
      </c>
    </row>
    <row r="44" ht="18" customHeight="1">
      <c r="A44" s="5" t="inlineStr">
        <is>
          <t xml:space="preserve">  Protection foudre</t>
        </is>
      </c>
    </row>
    <row r="45" ht="13.5" customHeight="1">
      <c r="D45" s="6" t="inlineStr">
        <is>
          <t>— Aucune facture —</t>
        </is>
      </c>
    </row>
    <row r="46" ht="15.8" customHeight="1">
      <c r="A46" s="7" t="inlineStr">
        <is>
          <t xml:space="preserve">    Sous-total — Protection foudre</t>
        </is>
      </c>
      <c r="E46" s="8" t="n">
        <v>1150</v>
      </c>
    </row>
    <row r="47" ht="18" customHeight="1">
      <c r="A47" s="5" t="inlineStr">
        <is>
          <t xml:space="preserve">  Quais &amp; Portes sectionnelles</t>
        </is>
      </c>
    </row>
    <row r="48" ht="13.5" customHeight="1">
      <c r="D48" s="6" t="inlineStr">
        <is>
          <t>— Aucune facture —</t>
        </is>
      </c>
    </row>
    <row r="49" ht="15.8" customHeight="1">
      <c r="A49" s="7" t="inlineStr">
        <is>
          <t xml:space="preserve">    Sous-total — Quais &amp; Portes sectionnelles</t>
        </is>
      </c>
      <c r="E49" s="8" t="n">
        <v>5397</v>
      </c>
    </row>
    <row r="50" ht="18" customHeight="1">
      <c r="A50" s="5" t="inlineStr">
        <is>
          <t xml:space="preserve">  Séparateur hydro.</t>
        </is>
      </c>
    </row>
    <row r="51" ht="13.5" customHeight="1">
      <c r="D51" s="6" t="inlineStr">
        <is>
          <t>— Aucune facture —</t>
        </is>
      </c>
    </row>
    <row r="52" ht="15.8" customHeight="1">
      <c r="A52" s="7" t="inlineStr">
        <is>
          <t xml:space="preserve">    Sous-total — Séparateur hydro.</t>
        </is>
      </c>
      <c r="E52" s="8" t="n">
        <v>3536.4</v>
      </c>
    </row>
    <row r="53" ht="18" customHeight="1">
      <c r="A53" s="5" t="inlineStr">
        <is>
          <t xml:space="preserve">  Sprinklers - RIA - PI - Fioul</t>
        </is>
      </c>
    </row>
    <row r="54" ht="13.5" customHeight="1">
      <c r="D54" s="6" t="inlineStr">
        <is>
          <t>— Aucune facture —</t>
        </is>
      </c>
    </row>
    <row r="55" ht="15.8" customHeight="1">
      <c r="A55" s="7" t="inlineStr">
        <is>
          <t xml:space="preserve">    Sous-total — Sprinklers - RIA - PI - Fioul</t>
        </is>
      </c>
      <c r="E55" s="8" t="n">
        <v>29712.56</v>
      </c>
    </row>
    <row r="56" ht="18" customHeight="1">
      <c r="A56" s="5" t="inlineStr">
        <is>
          <t xml:space="preserve">  SSI</t>
        </is>
      </c>
    </row>
    <row r="57" ht="13.5" customHeight="1">
      <c r="D57" s="6" t="inlineStr">
        <is>
          <t>— Aucune facture —</t>
        </is>
      </c>
    </row>
    <row r="58" ht="15.8" customHeight="1">
      <c r="A58" s="7" t="inlineStr">
        <is>
          <t xml:space="preserve">    Sous-total — SSI</t>
        </is>
      </c>
      <c r="E58" s="8" t="n">
        <v>3455.06</v>
      </c>
    </row>
    <row r="59" ht="18" customHeight="1">
      <c r="A59" s="5" t="inlineStr">
        <is>
          <t xml:space="preserve">  Télésurveillance</t>
        </is>
      </c>
    </row>
    <row r="60" ht="13.5" customHeight="1">
      <c r="D60" s="6" t="inlineStr">
        <is>
          <t>— Aucune facture —</t>
        </is>
      </c>
    </row>
    <row r="61" ht="15.8" customHeight="1">
      <c r="A61" s="7" t="inlineStr">
        <is>
          <t xml:space="preserve">    Sous-total — Télésurveillance</t>
        </is>
      </c>
      <c r="E61" s="8" t="n">
        <v>21381.7</v>
      </c>
    </row>
    <row r="62" ht="18" customHeight="1">
      <c r="A62" s="5" t="inlineStr">
        <is>
          <t xml:space="preserve">  Toiture</t>
        </is>
      </c>
    </row>
    <row r="63" ht="13.5" customHeight="1">
      <c r="D63" s="6" t="inlineStr">
        <is>
          <t>— Aucune facture —</t>
        </is>
      </c>
    </row>
    <row r="64" ht="15.8" customHeight="1">
      <c r="A64" s="7" t="inlineStr">
        <is>
          <t xml:space="preserve">    Sous-total — Toiture</t>
        </is>
      </c>
      <c r="E64" s="8" t="n">
        <v>13339.98</v>
      </c>
    </row>
    <row r="65" ht="18" customHeight="1">
      <c r="A65" s="5" t="inlineStr">
        <is>
          <t xml:space="preserve">  Vérifications règlementaires</t>
        </is>
      </c>
    </row>
    <row r="66" ht="13.5" customHeight="1">
      <c r="D66" s="6" t="inlineStr">
        <is>
          <t>— Aucune facture —</t>
        </is>
      </c>
    </row>
    <row r="67" ht="15.8" customHeight="1">
      <c r="A67" s="7" t="inlineStr">
        <is>
          <t xml:space="preserve">    Sous-total — Vérifications règlementaires</t>
        </is>
      </c>
      <c r="E67" s="8" t="n">
        <v>3480</v>
      </c>
    </row>
    <row r="68" ht="21.75" customHeight="1">
      <c r="A68" s="4" t="inlineStr">
        <is>
          <t>── TAXES ──</t>
        </is>
      </c>
    </row>
    <row r="69" ht="18" customHeight="1">
      <c r="A69" s="5" t="inlineStr">
        <is>
          <t xml:space="preserve">  Taxe Bureau &amp; Stationnement</t>
        </is>
      </c>
    </row>
    <row r="70" ht="13.5" customHeight="1">
      <c r="D70" s="6" t="inlineStr">
        <is>
          <t>— Aucune facture —</t>
        </is>
      </c>
    </row>
    <row r="71" ht="15.8" customHeight="1">
      <c r="A71" s="7" t="inlineStr">
        <is>
          <t xml:space="preserve">    Sous-total — Taxe Bureau &amp; Stationnement</t>
        </is>
      </c>
      <c r="E71" s="8" t="n">
        <v>61023</v>
      </c>
    </row>
    <row r="72" ht="21.75" customHeight="1">
      <c r="A72" s="4" t="inlineStr">
        <is>
          <t>── CHARGES NON RECUPERABLES ──</t>
        </is>
      </c>
    </row>
    <row r="73" ht="18" customHeight="1">
      <c r="A73" s="5" t="inlineStr">
        <is>
          <t xml:space="preserve">  Entretien Courant</t>
        </is>
      </c>
    </row>
    <row r="74" ht="13.5" customHeight="1">
      <c r="D74" s="6" t="inlineStr">
        <is>
          <t>— Aucune facture —</t>
        </is>
      </c>
    </row>
    <row r="75" ht="15.8" customHeight="1">
      <c r="A75" s="7" t="inlineStr">
        <is>
          <t xml:space="preserve">    Sous-total — Entretien Courant</t>
        </is>
      </c>
      <c r="E75" s="8" t="n">
        <v>33411.16</v>
      </c>
    </row>
    <row r="76" ht="18" customHeight="1">
      <c r="A76" s="5" t="inlineStr">
        <is>
          <t xml:space="preserve">  Honoraires Huissiers</t>
        </is>
      </c>
    </row>
    <row r="77" ht="15.05" customHeight="1">
      <c r="A77" s="12" t="inlineStr">
        <is>
          <t>0</t>
        </is>
      </c>
      <c r="B77" s="13" t="n">
        <v>260858.01</v>
      </c>
      <c r="C77" s="12" t="inlineStr"/>
      <c r="D77" s="12" t="inlineStr"/>
      <c r="E77" s="14" t="n">
        <v>355817.63</v>
      </c>
      <c r="F77" s="14" t="n">
        <v>355817.63</v>
      </c>
      <c r="G77" s="14" t="n">
        <v>46865.48</v>
      </c>
    </row>
    <row r="78" ht="15.8" customHeight="1">
      <c r="A78" s="7" t="inlineStr">
        <is>
          <t xml:space="preserve">    Sous-total — Honoraires Huissiers</t>
        </is>
      </c>
      <c r="E78" s="8">
        <f>SUM(E77:E77)</f>
        <v/>
      </c>
      <c r="F78" s="8">
        <f>SUM(F77:F77)</f>
        <v/>
      </c>
      <c r="G78" s="8">
        <f>SUM(G77:G77)</f>
        <v/>
      </c>
    </row>
    <row r="79" ht="6" customHeight="1"/>
    <row r="80" ht="19.55" customHeight="1">
      <c r="A80" s="5" t="inlineStr">
        <is>
          <t>TOTAL — CHARGES NON RÉCUPÉRABLES</t>
        </is>
      </c>
      <c r="E80" s="9">
        <f>E75+E78</f>
        <v/>
      </c>
    </row>
    <row r="81" ht="6" customHeight="1"/>
    <row r="82" ht="25.55" customHeight="1">
      <c r="A82" s="10" t="inlineStr">
        <is>
          <t>TOTAL GÉNÉRAL — CHARGES RÉCUPÉRABLES</t>
        </is>
      </c>
      <c r="E82" s="11">
        <f>E7+E10+E13+E16+E20+E24+E28+E31+E34+E37+E40+E43+E46+E49+E52+E55+E58+E61+E64+E67+E71</f>
        <v/>
      </c>
    </row>
  </sheetData>
  <mergeCells count="33">
    <mergeCell ref="A17:G17"/>
    <mergeCell ref="A20:D20"/>
    <mergeCell ref="A4:G4"/>
    <mergeCell ref="A52:D52"/>
    <mergeCell ref="A43:D43"/>
    <mergeCell ref="A72:G72"/>
    <mergeCell ref="A10:D10"/>
    <mergeCell ref="A28:D28"/>
    <mergeCell ref="A68:G68"/>
    <mergeCell ref="A13:D13"/>
    <mergeCell ref="A40:D40"/>
    <mergeCell ref="A67:D67"/>
    <mergeCell ref="A31:D31"/>
    <mergeCell ref="A58:D58"/>
    <mergeCell ref="A34:D34"/>
    <mergeCell ref="A64:D64"/>
    <mergeCell ref="A82:D82"/>
    <mergeCell ref="A24:D24"/>
    <mergeCell ref="A49:D49"/>
    <mergeCell ref="A1:G1"/>
    <mergeCell ref="A61:D61"/>
    <mergeCell ref="A78:D78"/>
    <mergeCell ref="A7:D7"/>
    <mergeCell ref="A16:D16"/>
    <mergeCell ref="A25:G25"/>
    <mergeCell ref="A46:D46"/>
    <mergeCell ref="A80:D80"/>
    <mergeCell ref="A37:D37"/>
    <mergeCell ref="A75:D75"/>
    <mergeCell ref="A21:G21"/>
    <mergeCell ref="A55:D55"/>
    <mergeCell ref="A2:G2"/>
    <mergeCell ref="A71:D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  <col width="12" customWidth="1" min="10" max="10"/>
    <col width="10" customWidth="1" min="11" max="11"/>
  </cols>
  <sheetData>
    <row r="1" ht="27.75" customHeight="1">
      <c r="A1" s="1" t="inlineStr">
        <is>
          <t>MEAUX PN01 — PARAMÈTRES SITE 2025</t>
        </is>
      </c>
    </row>
    <row r="2" ht="15.8" customHeight="1">
      <c r="A2" s="5" t="inlineStr">
        <is>
          <t>Site</t>
        </is>
      </c>
      <c r="C2" s="15" t="inlineStr">
        <is>
          <t>MEAUX PN01</t>
        </is>
      </c>
    </row>
    <row r="3" ht="15.8" customHeight="1">
      <c r="A3" s="5" t="inlineStr">
        <is>
          <t>Surface totale site (m²)</t>
        </is>
      </c>
      <c r="C3" s="15" t="n">
        <v>71243.39999999999</v>
      </c>
    </row>
    <row r="4" ht="15.8" customHeight="1">
      <c r="A4" s="5" t="inlineStr">
        <is>
          <t>Année</t>
        </is>
      </c>
      <c r="C4" s="15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 / MAD</t>
        </is>
      </c>
      <c r="G6" s="3" t="inlineStr">
        <is>
          <t>Fin de bail</t>
        </is>
      </c>
      <c r="H6" s="3" t="inlineStr">
        <is>
          <t>Jours Fluides 2025</t>
        </is>
      </c>
      <c r="I6" s="3" t="inlineStr">
        <is>
          <t>Prorata Fluides</t>
        </is>
      </c>
      <c r="J6" s="3" t="inlineStr">
        <is>
          <t>Jours Autres 2025</t>
        </is>
      </c>
      <c r="K6" s="3" t="inlineStr">
        <is>
          <t>Prorata Autres</t>
        </is>
      </c>
    </row>
    <row r="7" ht="15.05" customHeight="1">
      <c r="A7" s="15" t="inlineStr">
        <is>
          <t>BAT 1 - MEAUX I</t>
        </is>
      </c>
      <c r="B7" s="16" t="inlineStr">
        <is>
          <t>Occupé</t>
        </is>
      </c>
      <c r="C7" s="17" t="n">
        <v>32653.4</v>
      </c>
      <c r="D7" s="18" t="inlineStr">
        <is>
          <t>MEAUX I</t>
        </is>
      </c>
      <c r="E7" s="19" t="inlineStr">
        <is>
          <t>C&amp;A</t>
        </is>
      </c>
      <c r="F7" s="20" t="n">
        <v>42111</v>
      </c>
      <c r="G7" s="20" t="n">
        <v>46493</v>
      </c>
      <c r="H7" s="21">
        <f>MAX(0,MIN(DATE(2025,12,31),IF(G7="",DATE(2025,12,31),G7))-MAX(DATE(2025,1,1),IF(F7="",DATE(2025,1,1),F7))+1)</f>
        <v/>
      </c>
      <c r="I7" s="22">
        <f>H7/365</f>
        <v/>
      </c>
      <c r="J7" s="21">
        <f>H7</f>
        <v/>
      </c>
      <c r="K7" s="22">
        <f>J7/365</f>
        <v/>
      </c>
    </row>
    <row r="8" ht="15.05" customHeight="1">
      <c r="A8" s="15" t="inlineStr">
        <is>
          <t>C1</t>
        </is>
      </c>
      <c r="B8" s="16" t="inlineStr">
        <is>
          <t>Occupé</t>
        </is>
      </c>
      <c r="C8" s="17" t="n">
        <v>9553</v>
      </c>
      <c r="D8" s="18" t="inlineStr">
        <is>
          <t>MEAUX II</t>
        </is>
      </c>
      <c r="E8" s="19" t="inlineStr">
        <is>
          <t>DELISLE Logistique</t>
        </is>
      </c>
      <c r="F8" s="20" t="n">
        <v>45968</v>
      </c>
      <c r="G8" s="20" t="n">
        <v>50344</v>
      </c>
      <c r="H8" s="23" t="n">
        <v>55</v>
      </c>
      <c r="I8" s="22">
        <f>H8/365</f>
        <v/>
      </c>
      <c r="J8" s="23" t="n">
        <v>31</v>
      </c>
      <c r="K8" s="22">
        <f>J8/365</f>
        <v/>
      </c>
    </row>
    <row r="9" ht="15.05" customHeight="1">
      <c r="A9" s="15" t="inlineStr">
        <is>
          <t>C2</t>
        </is>
      </c>
      <c r="B9" s="24" t="inlineStr">
        <is>
          <t>Vacant</t>
        </is>
      </c>
      <c r="C9" s="17" t="n">
        <v>9717.5</v>
      </c>
      <c r="D9" s="18" t="inlineStr">
        <is>
          <t>MEAUX II</t>
        </is>
      </c>
      <c r="E9" s="19" t="inlineStr"/>
      <c r="F9" s="18" t="n"/>
      <c r="G9" s="18" t="n"/>
      <c r="H9" s="21">
        <f>MAX(0,MIN(DATE(2025,12,31),IF(G9="",DATE(2025,12,31),G9))-MAX(DATE(2025,1,1),IF(F9="",DATE(2025,1,1),F9))+1)</f>
        <v/>
      </c>
      <c r="I9" s="22">
        <f>H9/365</f>
        <v/>
      </c>
      <c r="J9" s="21">
        <f>H9</f>
        <v/>
      </c>
      <c r="K9" s="22">
        <f>J9/365</f>
        <v/>
      </c>
    </row>
    <row r="10" ht="15.05" customHeight="1">
      <c r="A10" s="15" t="inlineStr">
        <is>
          <t>C3</t>
        </is>
      </c>
      <c r="B10" s="16" t="inlineStr">
        <is>
          <t>Occupé</t>
        </is>
      </c>
      <c r="C10" s="17" t="n">
        <v>9525</v>
      </c>
      <c r="D10" s="18" t="inlineStr">
        <is>
          <t>MEAUX II</t>
        </is>
      </c>
      <c r="E10" s="19" t="inlineStr">
        <is>
          <t>SHAOKE Express</t>
        </is>
      </c>
      <c r="F10" s="20" t="n">
        <v>45986</v>
      </c>
      <c r="G10" s="20" t="n">
        <v>50419</v>
      </c>
      <c r="H10" s="23" t="n">
        <v>37</v>
      </c>
      <c r="I10" s="22">
        <f>H10/365</f>
        <v/>
      </c>
      <c r="J10" s="23" t="n">
        <v>0</v>
      </c>
      <c r="K10" s="22">
        <f>J10/365</f>
        <v/>
      </c>
    </row>
    <row r="11" ht="15.05" customHeight="1">
      <c r="A11" s="15" t="inlineStr">
        <is>
          <t>C4</t>
        </is>
      </c>
      <c r="B11" s="24" t="inlineStr">
        <is>
          <t>Vacant</t>
        </is>
      </c>
      <c r="C11" s="17" t="n">
        <v>9794.5</v>
      </c>
      <c r="D11" s="18" t="inlineStr">
        <is>
          <t>MEAUX II</t>
        </is>
      </c>
      <c r="E11" s="19" t="inlineStr"/>
      <c r="F11" s="18" t="n"/>
      <c r="G11" s="18" t="n"/>
      <c r="H11" s="21">
        <f>MAX(0,MIN(DATE(2025,12,31),IF(G11="",DATE(2025,12,31),G11))-MAX(DATE(2025,1,1),IF(F11="",DATE(2025,1,1),F11))+1)</f>
        <v/>
      </c>
      <c r="I11" s="22">
        <f>H11/365</f>
        <v/>
      </c>
      <c r="J11" s="21">
        <f>H11</f>
        <v/>
      </c>
      <c r="K11" s="22">
        <f>J11/365</f>
        <v/>
      </c>
    </row>
    <row r="12" ht="7.55" customHeight="1"/>
    <row r="13" ht="18" customHeight="1">
      <c r="A13" s="25" t="inlineStr">
        <is>
          <t>Poste (lié aux Récapitulatifs)</t>
        </is>
      </c>
      <c r="C13" s="26" t="inlineStr">
        <is>
          <t>Montant HT (€)</t>
        </is>
      </c>
    </row>
    <row r="14" ht="15.05" customHeight="1">
      <c r="A14" s="27">
        <f>IFERROR(MID('Récap MEAUX II 2025'!A40,FIND(" — ",'Récap MEAUX II 2025'!A40)+4,100),"")</f>
        <v/>
      </c>
      <c r="C14" s="28">
        <f>'Récap MEAUX II 2025'!E40</f>
        <v/>
      </c>
    </row>
    <row r="15" ht="15.05" customHeight="1">
      <c r="A15" s="27">
        <f>IFERROR(MID('Récap MEAUX II 2025'!A67,FIND(" — ",'Récap MEAUX II 2025'!A67)+4,100),"")</f>
        <v/>
      </c>
      <c r="C15" s="28">
        <f>'Récap MEAUX II 2025'!E67</f>
        <v/>
      </c>
    </row>
    <row r="16" ht="15.05" customHeight="1">
      <c r="A16" s="27">
        <f>IFERROR(MID('Récap Site 2025'!A14,FIND(" — ",'Récap Site 2025'!A14)+4,100),"")</f>
        <v/>
      </c>
      <c r="C16" s="28">
        <f>'Récap Site 2025'!E14</f>
        <v/>
      </c>
    </row>
    <row r="17" ht="15.05" customHeight="1">
      <c r="A17" s="27">
        <f>IFERROR(MID('Récap MEAUX II 2025'!A13,FIND(" — ",'Récap MEAUX II 2025'!A13)+4,100),"")</f>
        <v/>
      </c>
      <c r="C17" s="28">
        <f>'Récap MEAUX II 2025'!E13</f>
        <v/>
      </c>
    </row>
    <row r="18" ht="15.05" customHeight="1">
      <c r="A18" s="27">
        <f>IFERROR(MID('Récap MEAUX II 2025'!A71,FIND(" — ",'Récap MEAUX II 2025'!A71)+4,100),"")</f>
        <v/>
      </c>
      <c r="C18" s="28">
        <f>'Récap MEAUX II 2025'!E71</f>
        <v/>
      </c>
    </row>
    <row r="19" ht="15.05" customHeight="1">
      <c r="A19" s="27">
        <f>IFERROR(MID('Récap MEAUX II 2025'!A75,FIND(" — ",'Récap MEAUX II 2025'!A75)+4,100),"")</f>
        <v/>
      </c>
      <c r="C19" s="28">
        <f>'Récap MEAUX II 2025'!E75</f>
        <v/>
      </c>
    </row>
    <row r="20" ht="15.05" customHeight="1">
      <c r="A20" s="27">
        <f>IFERROR(MID('Récap MEAUX II 2025'!A7,FIND(" — ",'Récap MEAUX II 2025'!A7)+4,100),"")</f>
        <v/>
      </c>
      <c r="C20" s="28">
        <f>'Récap MEAUX II 2025'!E7</f>
        <v/>
      </c>
    </row>
    <row r="21" ht="15.05" customHeight="1">
      <c r="A21" s="27">
        <f>IFERROR(MID('Récap MEAUX II 2025'!A10,FIND(" — ",'Récap MEAUX II 2025'!A10)+4,100),"")</f>
        <v/>
      </c>
      <c r="C21" s="28">
        <f>'Récap MEAUX II 2025'!E10</f>
        <v/>
      </c>
    </row>
    <row r="22" ht="15.05" customHeight="1">
      <c r="A22" s="27">
        <f>IFERROR(MID('Récap MEAUX II 2025'!A16,FIND(" — ",'Récap MEAUX II 2025'!A16)+4,100),"")</f>
        <v/>
      </c>
      <c r="C22" s="28">
        <f>'Récap MEAUX II 2025'!E16</f>
        <v/>
      </c>
    </row>
    <row r="23" ht="15.05" customHeight="1">
      <c r="A23" s="27">
        <f>IFERROR(MID('Récap MEAUX II 2025'!A20,FIND(" — ",'Récap MEAUX II 2025'!A20)+4,100),"")</f>
        <v/>
      </c>
      <c r="C23" s="28">
        <f>'Récap MEAUX II 2025'!E20</f>
        <v/>
      </c>
    </row>
    <row r="24" ht="15.05" customHeight="1">
      <c r="A24" s="27">
        <f>IFERROR(MID('Récap MEAUX II 2025'!A24,FIND(" — ",'Récap MEAUX II 2025'!A24)+4,100),"")</f>
        <v/>
      </c>
      <c r="C24" s="28">
        <f>'Récap MEAUX II 2025'!E24</f>
        <v/>
      </c>
    </row>
    <row r="25" ht="15.05" customHeight="1">
      <c r="A25" s="27">
        <f>IFERROR(MID('Récap MEAUX II 2025'!A28,FIND(" — ",'Récap MEAUX II 2025'!A28)+4,100),"")</f>
        <v/>
      </c>
      <c r="C25" s="28">
        <f>'Récap MEAUX II 2025'!E28</f>
        <v/>
      </c>
    </row>
    <row r="26" ht="15.05" customHeight="1">
      <c r="A26" s="27">
        <f>IFERROR(MID('Récap MEAUX II 2025'!A31,FIND(" — ",'Récap MEAUX II 2025'!A31)+4,100),"")</f>
        <v/>
      </c>
      <c r="C26" s="28">
        <f>'Récap MEAUX II 2025'!E31</f>
        <v/>
      </c>
    </row>
    <row r="27" ht="15.05" customHeight="1">
      <c r="A27" s="27">
        <f>IFERROR(MID('Récap MEAUX II 2025'!A34,FIND(" — ",'Récap MEAUX II 2025'!A34)+4,100),"")</f>
        <v/>
      </c>
      <c r="C27" s="28">
        <f>'Récap MEAUX II 2025'!E34</f>
        <v/>
      </c>
    </row>
    <row r="28" ht="15.05" customHeight="1">
      <c r="A28" s="27">
        <f>IFERROR(MID('Récap MEAUX II 2025'!A37,FIND(" — ",'Récap MEAUX II 2025'!A37)+4,100),"")</f>
        <v/>
      </c>
      <c r="C28" s="28">
        <f>'Récap MEAUX II 2025'!E37</f>
        <v/>
      </c>
    </row>
    <row r="29" ht="15.05" customHeight="1">
      <c r="A29" s="27">
        <f>IFERROR(MID('Récap MEAUX II 2025'!A43,FIND(" — ",'Récap MEAUX II 2025'!A43)+4,100),"")</f>
        <v/>
      </c>
      <c r="C29" s="28">
        <f>'Récap MEAUX II 2025'!E43</f>
        <v/>
      </c>
    </row>
    <row r="30" ht="15.05" customHeight="1">
      <c r="A30" s="27">
        <f>IFERROR(MID('Récap MEAUX II 2025'!A46,FIND(" — ",'Récap MEAUX II 2025'!A46)+4,100),"")</f>
        <v/>
      </c>
      <c r="C30" s="28">
        <f>'Récap MEAUX II 2025'!E46</f>
        <v/>
      </c>
    </row>
    <row r="31" ht="15.05" customHeight="1">
      <c r="A31" s="27">
        <f>IFERROR(MID('Récap MEAUX II 2025'!A49,FIND(" — ",'Récap MEAUX II 2025'!A49)+4,100),"")</f>
        <v/>
      </c>
      <c r="C31" s="28">
        <f>'Récap MEAUX II 2025'!E49</f>
        <v/>
      </c>
    </row>
    <row r="32" ht="15.05" customHeight="1">
      <c r="A32" s="27">
        <f>IFERROR(MID('Récap MEAUX II 2025'!A52,FIND(" — ",'Récap MEAUX II 2025'!A52)+4,100),"")</f>
        <v/>
      </c>
      <c r="C32" s="28">
        <f>'Récap MEAUX II 2025'!E52</f>
        <v/>
      </c>
    </row>
    <row r="33" ht="15.05" customHeight="1">
      <c r="A33" s="27">
        <f>IFERROR(MID('Récap MEAUX II 2025'!A55,FIND(" — ",'Récap MEAUX II 2025'!A55)+4,100),"")</f>
        <v/>
      </c>
      <c r="C33" s="28">
        <f>'Récap MEAUX II 2025'!E55</f>
        <v/>
      </c>
    </row>
    <row r="34" ht="15.05" customHeight="1">
      <c r="A34" s="27">
        <f>IFERROR(MID('Récap MEAUX II 2025'!A58,FIND(" — ",'Récap MEAUX II 2025'!A58)+4,100),"")</f>
        <v/>
      </c>
      <c r="C34" s="28">
        <f>'Récap MEAUX II 2025'!E58</f>
        <v/>
      </c>
    </row>
    <row r="35" ht="15.05" customHeight="1">
      <c r="A35" s="27">
        <f>IFERROR(MID('Récap MEAUX II 2025'!A61,FIND(" — ",'Récap MEAUX II 2025'!A61)+4,100),"")</f>
        <v/>
      </c>
      <c r="C35" s="28">
        <f>'Récap MEAUX II 2025'!E61</f>
        <v/>
      </c>
    </row>
    <row r="36" ht="15.05" customHeight="1">
      <c r="A36" s="27">
        <f>IFERROR(MID('Récap MEAUX II 2025'!A64,FIND(" — ",'Récap MEAUX II 2025'!A64)+4,100),"")</f>
        <v/>
      </c>
      <c r="C36" s="28">
        <f>'Récap MEAUX II 2025'!E64</f>
        <v/>
      </c>
    </row>
    <row r="37" ht="15.05" customHeight="1">
      <c r="A37" s="27">
        <f>IFERROR(MID('Récap MEAUX II 2025'!A78,FIND(" — ",'Récap MEAUX II 2025'!A78)+4,100),"")</f>
        <v/>
      </c>
      <c r="C37" s="28">
        <f>'Récap MEAUX II 2025'!E78</f>
        <v/>
      </c>
    </row>
  </sheetData>
  <mergeCells count="2">
    <mergeCell ref="A1:I1"/>
    <mergeCell ref="A13:B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BAT 1 - MEAUX I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Paramètres!$C$7/Paramètres!$C$3</f>
        <v/>
      </c>
      <c r="C7" s="32">
        <f>'Récap MEAUX II 2025'!E40</f>
        <v/>
      </c>
      <c r="D7" s="32">
        <f>B7*C7</f>
        <v/>
      </c>
      <c r="E7" s="33">
        <f>Paramètres!$J$7/365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Paramètres!$C$7/Paramètres!$C$3</f>
        <v/>
      </c>
      <c r="C8" s="32">
        <f>'Récap MEAUX II 2025'!E67</f>
        <v/>
      </c>
      <c r="D8" s="32">
        <f>B8*C8</f>
        <v/>
      </c>
      <c r="E8" s="33">
        <f>Paramètres!$J$7/365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Electricité</t>
        </is>
      </c>
      <c r="B13" s="31">
        <f>Paramètres!$C$7/32653.4</f>
        <v/>
      </c>
      <c r="C13" s="32">
        <f>'Récap MEAUX II 2025'!E13</f>
        <v/>
      </c>
      <c r="D13" s="32">
        <f>B13*C13</f>
        <v/>
      </c>
      <c r="E13" s="33">
        <f>Paramètres!$H$7/365</f>
        <v/>
      </c>
      <c r="F13" s="32">
        <f>D13*E13</f>
        <v/>
      </c>
    </row>
    <row r="14" ht="18" customHeight="1">
      <c r="A14" s="7" t="inlineStr">
        <is>
          <t>Sous-total — FLUIDES</t>
        </is>
      </c>
      <c r="C14" s="8">
        <f>SUM(C13:C13)</f>
        <v/>
      </c>
      <c r="D14" s="8">
        <f>SUM(D13:D13)</f>
        <v/>
      </c>
      <c r="E14" s="34" t="n"/>
      <c r="F14" s="8">
        <f>SUM(F13:F13)</f>
        <v/>
      </c>
    </row>
    <row r="15" ht="18" customHeight="1">
      <c r="A15" s="5" t="inlineStr">
        <is>
          <t>CONTRAT MAINTENANCE</t>
        </is>
      </c>
    </row>
    <row r="16" ht="15.05" customHeight="1">
      <c r="A16" s="30" t="inlineStr">
        <is>
          <t>Vérifications règlementaires</t>
        </is>
      </c>
      <c r="B16" s="31">
        <f>Paramètres!$C$7/32653.4</f>
        <v/>
      </c>
      <c r="C16" s="32">
        <f>'Récap MEAUX II 2025'!E67</f>
        <v/>
      </c>
      <c r="D16" s="32">
        <f>B16*C16</f>
        <v/>
      </c>
      <c r="E16" s="33">
        <f>Paramètres!$J$7/365</f>
        <v/>
      </c>
      <c r="F16" s="32">
        <f>D16*E16</f>
        <v/>
      </c>
    </row>
    <row r="17" ht="18" customHeight="1">
      <c r="A17" s="7" t="inlineStr">
        <is>
          <t>Sous-total — CONTRAT MAINTENANCE</t>
        </is>
      </c>
      <c r="C17" s="8">
        <f>SUM(C16:C16)</f>
        <v/>
      </c>
      <c r="D17" s="8">
        <f>SUM(D16:D16)</f>
        <v/>
      </c>
      <c r="E17" s="34" t="n"/>
      <c r="F17" s="8">
        <f>SUM(F16:F16)</f>
        <v/>
      </c>
    </row>
    <row r="18" ht="18" customHeight="1">
      <c r="A18" s="5" t="inlineStr">
        <is>
          <t>TAXES</t>
        </is>
      </c>
    </row>
    <row r="19" ht="15.05" customHeight="1">
      <c r="A19" s="30" t="inlineStr">
        <is>
          <t>Taxe Bureau &amp; Stationnement</t>
        </is>
      </c>
      <c r="B19" s="31">
        <f>Paramètres!$C$7/32653.4</f>
        <v/>
      </c>
      <c r="C19" s="32">
        <f>'Récap MEAUX II 2025'!E71</f>
        <v/>
      </c>
      <c r="D19" s="32">
        <f>B19*C19</f>
        <v/>
      </c>
      <c r="E19" s="33">
        <f>Paramètres!$J$7/365</f>
        <v/>
      </c>
      <c r="F19" s="32">
        <f>D19*E19</f>
        <v/>
      </c>
    </row>
    <row r="20" ht="18" customHeight="1">
      <c r="A20" s="7" t="inlineStr">
        <is>
          <t>Sous-total — TAXES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6" customHeight="1"/>
    <row r="22" ht="6" customHeight="1"/>
    <row r="23" ht="18" customHeight="1">
      <c r="A23" s="5" t="inlineStr">
        <is>
          <t>HONORAIRES</t>
        </is>
      </c>
    </row>
    <row r="24" ht="15.05" customHeight="1">
      <c r="A24" s="30" t="inlineStr">
        <is>
          <t>Honoraires Gestion Technique</t>
        </is>
      </c>
      <c r="D24" s="35" t="n"/>
      <c r="E24" s="36" t="n">
        <v>1</v>
      </c>
      <c r="F24" s="32">
        <f>IF(D24="","",D24*E24)</f>
        <v/>
      </c>
    </row>
    <row r="25" ht="18" customHeight="1">
      <c r="A25" s="7" t="inlineStr">
        <is>
          <t>Sous-total — HONORAIRES</t>
        </is>
      </c>
      <c r="C25" s="8">
        <f>SUM(C24:C24)</f>
        <v/>
      </c>
      <c r="D25" s="8">
        <f>SUM(D24:D24)</f>
        <v/>
      </c>
      <c r="E25" s="34" t="n"/>
      <c r="F25" s="8">
        <f>SUM(F24:F24)</f>
        <v/>
      </c>
    </row>
    <row r="26" ht="7.55" customHeight="1"/>
    <row r="27" ht="21.75" customHeight="1">
      <c r="A27" s="10" t="inlineStr">
        <is>
          <t>TOTAL CHARGES RÉCUPÉRABLES RÉELLES (€ HT)</t>
        </is>
      </c>
      <c r="C27" s="11">
        <f>C9+C14+C17+C20+C25</f>
        <v/>
      </c>
      <c r="D27" s="11">
        <f>D9+D14+D17+D20+D25</f>
        <v/>
      </c>
      <c r="E27" s="37" t="n"/>
      <c r="F27" s="11">
        <f>F9+F14+F17+F20+F25</f>
        <v/>
      </c>
    </row>
    <row r="28" ht="7.55" customHeight="1"/>
    <row r="29" ht="19.55" customHeight="1">
      <c r="A29" s="5" t="inlineStr">
        <is>
          <t>Provisions pour charges versées</t>
        </is>
      </c>
      <c r="C29" s="38" t="n"/>
      <c r="D29" s="26" t="inlineStr">
        <is>
          <t>Montant annuel (€)</t>
        </is>
      </c>
      <c r="E29" s="38" t="n"/>
      <c r="F29" s="26" t="inlineStr">
        <is>
          <t>Montant locataire (€)</t>
        </is>
      </c>
    </row>
    <row r="30" ht="15.8" customHeight="1">
      <c r="A30" s="19" t="inlineStr">
        <is>
          <t xml:space="preserve">  1er trimestre (T1)</t>
        </is>
      </c>
    </row>
    <row r="31" ht="15.8" customHeight="1">
      <c r="A31" s="19" t="inlineStr">
        <is>
          <t xml:space="preserve">  2e trimestre (T2)</t>
        </is>
      </c>
    </row>
    <row r="32" ht="15.8" customHeight="1">
      <c r="A32" s="19" t="inlineStr">
        <is>
          <t xml:space="preserve">  3e trimestre (T3)</t>
        </is>
      </c>
    </row>
    <row r="33" ht="15.8" customHeight="1">
      <c r="A33" s="19" t="inlineStr">
        <is>
          <t xml:space="preserve">  4e trimestre (T4)</t>
        </is>
      </c>
    </row>
    <row r="34" ht="18" customHeight="1">
      <c r="A34" s="7" t="inlineStr">
        <is>
          <t>Total provisions pour charges versées →</t>
        </is>
      </c>
      <c r="D34" s="8">
        <f>SUM(D30:D33)</f>
        <v/>
      </c>
      <c r="E34" s="34" t="n"/>
      <c r="F34" s="8">
        <f>SUM(F30:F33)</f>
        <v/>
      </c>
    </row>
    <row r="35" ht="7.55" customHeight="1"/>
    <row r="36" ht="21.75" customHeight="1">
      <c r="A36" s="39">
        <f>IF(F27-F34&gt;0,"SOLDE DÉBITEUR","SOLDE CRÉDITEUR")</f>
        <v/>
      </c>
      <c r="D36" s="40">
        <f>D27-D34</f>
        <v/>
      </c>
      <c r="E36" s="38" t="n"/>
      <c r="F36" s="40">
        <f>F27-F34</f>
        <v/>
      </c>
    </row>
    <row r="38" ht="27.75" customHeight="1">
      <c r="A38" s="41" t="inlineStr">
        <is>
          <t>ℹ  Clé répartition = surface lot ÷ surface totale site. Période = nombre de jours d'occupation ÷ 365.</t>
        </is>
      </c>
    </row>
  </sheetData>
  <mergeCells count="20">
    <mergeCell ref="A12:F12"/>
    <mergeCell ref="A18:F18"/>
    <mergeCell ref="A3:F3"/>
    <mergeCell ref="A2:F2"/>
    <mergeCell ref="A25:B25"/>
    <mergeCell ref="A5:F5"/>
    <mergeCell ref="A23:F23"/>
    <mergeCell ref="A27:B27"/>
    <mergeCell ref="A38:F38"/>
    <mergeCell ref="A14:B14"/>
    <mergeCell ref="A17:B17"/>
    <mergeCell ref="A34:C34"/>
    <mergeCell ref="A15:F15"/>
    <mergeCell ref="A11:F11"/>
    <mergeCell ref="A20:B20"/>
    <mergeCell ref="A36:C36"/>
    <mergeCell ref="A29:B29"/>
    <mergeCell ref="A1:F1"/>
    <mergeCell ref="A6:F6"/>
    <mergeCell ref="A9:B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C1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Paramètres!$C$8/Paramètres!$C$3</f>
        <v/>
      </c>
      <c r="C7" s="32">
        <f>'Récap MEAUX II 2025'!E40</f>
        <v/>
      </c>
      <c r="D7" s="32">
        <f>B7*C7</f>
        <v/>
      </c>
      <c r="E7" s="33">
        <f>Paramètres!$J$8/365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Paramètres!$C$8/Paramètres!$C$3</f>
        <v/>
      </c>
      <c r="C8" s="32">
        <f>'Récap MEAUX II 2025'!E67</f>
        <v/>
      </c>
      <c r="D8" s="32">
        <f>B8*C8</f>
        <v/>
      </c>
      <c r="E8" s="33">
        <f>Paramètres!$J$8/365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Eau</t>
        </is>
      </c>
      <c r="B13" s="31">
        <f>Paramètres!$C$8/38590.0</f>
        <v/>
      </c>
      <c r="C13" s="32">
        <f>'Récap MEAUX II 2025'!E7</f>
        <v/>
      </c>
      <c r="D13" s="32">
        <f>B13*C13</f>
        <v/>
      </c>
      <c r="E13" s="33">
        <f>Paramètres!$H$8/365</f>
        <v/>
      </c>
      <c r="F13" s="32">
        <f>D13*E13</f>
        <v/>
      </c>
    </row>
    <row r="14" ht="15.05" customHeight="1">
      <c r="A14" s="30" t="inlineStr">
        <is>
          <t>Eau - Incendie</t>
        </is>
      </c>
      <c r="B14" s="31">
        <f>Paramètres!$C$8/38590.0</f>
        <v/>
      </c>
      <c r="C14" s="32">
        <f>'Récap MEAUX II 2025'!E10</f>
        <v/>
      </c>
      <c r="D14" s="32">
        <f>B14*C14</f>
        <v/>
      </c>
      <c r="E14" s="33">
        <f>Paramètres!$H$8/365</f>
        <v/>
      </c>
      <c r="F14" s="32">
        <f>D14*E14</f>
        <v/>
      </c>
    </row>
    <row r="15" ht="15.05" customHeight="1">
      <c r="A15" s="30" t="inlineStr">
        <is>
          <t>Electricité</t>
        </is>
      </c>
      <c r="B15" s="31">
        <f>Paramètres!$C$8/38590.0</f>
        <v/>
      </c>
      <c r="C15" s="32">
        <f>'Récap MEAUX II 2025'!E13</f>
        <v/>
      </c>
      <c r="D15" s="32">
        <f>B15*C15</f>
        <v/>
      </c>
      <c r="E15" s="33">
        <f>Paramètres!$H$8/365</f>
        <v/>
      </c>
      <c r="F15" s="32">
        <f>D15*E15</f>
        <v/>
      </c>
    </row>
    <row r="16" ht="15.05" customHeight="1">
      <c r="A16" s="30" t="inlineStr">
        <is>
          <t>Gaz</t>
        </is>
      </c>
      <c r="B16" s="31">
        <f>Paramètres!$C$8/38590.0</f>
        <v/>
      </c>
      <c r="C16" s="32">
        <f>'Récap MEAUX II 2025'!E16</f>
        <v/>
      </c>
      <c r="D16" s="32">
        <f>B16*C16</f>
        <v/>
      </c>
      <c r="E16" s="33">
        <f>Paramètres!$H$8/365</f>
        <v/>
      </c>
      <c r="F16" s="32">
        <f>D16*E16</f>
        <v/>
      </c>
    </row>
    <row r="17" ht="18" customHeight="1">
      <c r="A17" s="7" t="inlineStr">
        <is>
          <t>Sous-total — FLUIDES</t>
        </is>
      </c>
      <c r="C17" s="8">
        <f>SUM(C13:C16)</f>
        <v/>
      </c>
      <c r="D17" s="8">
        <f>SUM(D13:D16)</f>
        <v/>
      </c>
      <c r="E17" s="34" t="n"/>
      <c r="F17" s="8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0" t="inlineStr">
        <is>
          <t>Honoraires Divers</t>
        </is>
      </c>
      <c r="B19" s="31">
        <f>Paramètres!$C$8/38590.0</f>
        <v/>
      </c>
      <c r="C19" s="32">
        <f>'Récap MEAUX II 2025'!E20</f>
        <v/>
      </c>
      <c r="D19" s="32">
        <f>B19*C19</f>
        <v/>
      </c>
      <c r="E19" s="33">
        <f>Paramètres!$J$8/365</f>
        <v/>
      </c>
      <c r="F19" s="32">
        <f>D19*E19</f>
        <v/>
      </c>
    </row>
    <row r="20" ht="18" customHeight="1">
      <c r="A20" s="7" t="inlineStr">
        <is>
          <t>Sous-total — HONORAIRES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0" t="inlineStr">
        <is>
          <t>Entretien Courant</t>
        </is>
      </c>
      <c r="B22" s="31">
        <f>Paramètres!$C$8/38590.0</f>
        <v/>
      </c>
      <c r="C22" s="32">
        <f>'Récap MEAUX II 2025'!E24</f>
        <v/>
      </c>
      <c r="D22" s="32">
        <f>B22*C22</f>
        <v/>
      </c>
      <c r="E22" s="33">
        <f>Paramètres!$J$8/365</f>
        <v/>
      </c>
      <c r="F22" s="32">
        <f>D22*E22</f>
        <v/>
      </c>
    </row>
    <row r="23" ht="18" customHeight="1">
      <c r="A23" s="7" t="inlineStr">
        <is>
          <t>Sous-total — TRAVAUX</t>
        </is>
      </c>
      <c r="C23" s="8">
        <f>SUM(C22:C22)</f>
        <v/>
      </c>
      <c r="D23" s="8">
        <f>SUM(D22:D22)</f>
        <v/>
      </c>
      <c r="E23" s="34" t="n"/>
      <c r="F23" s="8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0" t="inlineStr">
        <is>
          <t>Ascenseur</t>
        </is>
      </c>
      <c r="B25" s="31">
        <f>Paramètres!$C$8/38590.0</f>
        <v/>
      </c>
      <c r="C25" s="32">
        <f>'Récap MEAUX II 2025'!E28</f>
        <v/>
      </c>
      <c r="D25" s="32">
        <f>B25*C25</f>
        <v/>
      </c>
      <c r="E25" s="33">
        <f>Paramètres!$J$8/365</f>
        <v/>
      </c>
      <c r="F25" s="32">
        <f>D25*E25</f>
        <v/>
      </c>
    </row>
    <row r="26" ht="15.05" customHeight="1">
      <c r="A26" s="30" t="inlineStr">
        <is>
          <t>Chaufferie</t>
        </is>
      </c>
      <c r="B26" s="31">
        <f>Paramètres!$C$8/38590.0</f>
        <v/>
      </c>
      <c r="C26" s="32">
        <f>'Récap MEAUX II 2025'!E31</f>
        <v/>
      </c>
      <c r="D26" s="32">
        <f>B26*C26</f>
        <v/>
      </c>
      <c r="E26" s="33">
        <f>Paramètres!$J$8/365</f>
        <v/>
      </c>
      <c r="F26" s="32">
        <f>D26*E26</f>
        <v/>
      </c>
    </row>
    <row r="27" ht="15.05" customHeight="1">
      <c r="A27" s="30" t="inlineStr">
        <is>
          <t>Désenfumage</t>
        </is>
      </c>
      <c r="B27" s="31">
        <f>Paramètres!$C$8/38590.0</f>
        <v/>
      </c>
      <c r="C27" s="32">
        <f>'Récap MEAUX II 2025'!E34</f>
        <v/>
      </c>
      <c r="D27" s="32">
        <f>B27*C27</f>
        <v/>
      </c>
      <c r="E27" s="33">
        <f>Paramètres!$J$8/365</f>
        <v/>
      </c>
      <c r="F27" s="32">
        <f>D27*E27</f>
        <v/>
      </c>
    </row>
    <row r="28" ht="15.05" customHeight="1">
      <c r="A28" s="30" t="inlineStr">
        <is>
          <t>Espaces verts</t>
        </is>
      </c>
      <c r="B28" s="31">
        <f>Paramètres!$C$8/38590.0</f>
        <v/>
      </c>
      <c r="C28" s="32">
        <f>'Récap MEAUX II 2025'!E37</f>
        <v/>
      </c>
      <c r="D28" s="32">
        <f>B28*C28</f>
        <v/>
      </c>
      <c r="E28" s="33">
        <f>Paramètres!$J$8/365</f>
        <v/>
      </c>
      <c r="F28" s="32">
        <f>D28*E28</f>
        <v/>
      </c>
    </row>
    <row r="29" ht="15.05" customHeight="1">
      <c r="A29" s="30" t="inlineStr">
        <is>
          <t>Portails + Barrières automatiques</t>
        </is>
      </c>
      <c r="B29" s="31">
        <f>Paramètres!$C$8/38590.0</f>
        <v/>
      </c>
      <c r="C29" s="32">
        <f>'Récap MEAUX II 2025'!E40</f>
        <v/>
      </c>
      <c r="D29" s="32">
        <f>B29*C29</f>
        <v/>
      </c>
      <c r="E29" s="33">
        <f>Paramètres!$J$8/365</f>
        <v/>
      </c>
      <c r="F29" s="32">
        <f>D29*E29</f>
        <v/>
      </c>
    </row>
    <row r="30" ht="15.05" customHeight="1">
      <c r="A30" s="30" t="inlineStr">
        <is>
          <t>Portes Coupe-Feu</t>
        </is>
      </c>
      <c r="B30" s="31">
        <f>Paramètres!$C$8/38590.0</f>
        <v/>
      </c>
      <c r="C30" s="32">
        <f>'Récap MEAUX II 2025'!E43</f>
        <v/>
      </c>
      <c r="D30" s="32">
        <f>B30*C30</f>
        <v/>
      </c>
      <c r="E30" s="33">
        <f>Paramètres!$J$8/365</f>
        <v/>
      </c>
      <c r="F30" s="32">
        <f>D30*E30</f>
        <v/>
      </c>
    </row>
    <row r="31" ht="15.05" customHeight="1">
      <c r="A31" s="30" t="inlineStr">
        <is>
          <t>Protection foudre</t>
        </is>
      </c>
      <c r="B31" s="31">
        <f>Paramètres!$C$8/38590.0</f>
        <v/>
      </c>
      <c r="C31" s="32">
        <f>'Récap MEAUX II 2025'!E46</f>
        <v/>
      </c>
      <c r="D31" s="32">
        <f>B31*C31</f>
        <v/>
      </c>
      <c r="E31" s="33">
        <f>Paramètres!$J$8/365</f>
        <v/>
      </c>
      <c r="F31" s="32">
        <f>D31*E31</f>
        <v/>
      </c>
    </row>
    <row r="32" ht="15.05" customHeight="1">
      <c r="A32" s="30" t="inlineStr">
        <is>
          <t>Quais &amp; Portes sectionnelles</t>
        </is>
      </c>
      <c r="B32" s="31">
        <f>Paramètres!$C$8/38590.0</f>
        <v/>
      </c>
      <c r="C32" s="32">
        <f>'Récap MEAUX II 2025'!E49</f>
        <v/>
      </c>
      <c r="D32" s="32">
        <f>B32*C32</f>
        <v/>
      </c>
      <c r="E32" s="33">
        <f>Paramètres!$J$8/365</f>
        <v/>
      </c>
      <c r="F32" s="32">
        <f>D32*E32</f>
        <v/>
      </c>
    </row>
    <row r="33" ht="15.05" customHeight="1">
      <c r="A33" s="30" t="inlineStr">
        <is>
          <t>Séparateur hydro.</t>
        </is>
      </c>
      <c r="B33" s="31">
        <f>Paramètres!$C$8/38590.0</f>
        <v/>
      </c>
      <c r="C33" s="32">
        <f>'Récap MEAUX II 2025'!E52</f>
        <v/>
      </c>
      <c r="D33" s="32">
        <f>B33*C33</f>
        <v/>
      </c>
      <c r="E33" s="33">
        <f>Paramètres!$J$8/365</f>
        <v/>
      </c>
      <c r="F33" s="32">
        <f>D33*E33</f>
        <v/>
      </c>
    </row>
    <row r="34" ht="15.05" customHeight="1">
      <c r="A34" s="30" t="inlineStr">
        <is>
          <t>Sprinklers - RIA - PI - Fioul</t>
        </is>
      </c>
      <c r="B34" s="31">
        <f>Paramètres!$C$8/38590.0</f>
        <v/>
      </c>
      <c r="C34" s="32">
        <f>'Récap MEAUX II 2025'!E55</f>
        <v/>
      </c>
      <c r="D34" s="32">
        <f>B34*C34</f>
        <v/>
      </c>
      <c r="E34" s="33">
        <f>Paramètres!$J$8/365</f>
        <v/>
      </c>
      <c r="F34" s="32">
        <f>D34*E34</f>
        <v/>
      </c>
    </row>
    <row r="35" ht="15.05" customHeight="1">
      <c r="A35" s="30" t="inlineStr">
        <is>
          <t>SSI</t>
        </is>
      </c>
      <c r="B35" s="31">
        <f>Paramètres!$C$8/38590.0</f>
        <v/>
      </c>
      <c r="C35" s="32">
        <f>'Récap MEAUX II 2025'!E58</f>
        <v/>
      </c>
      <c r="D35" s="32">
        <f>B35*C35</f>
        <v/>
      </c>
      <c r="E35" s="33">
        <f>Paramètres!$J$8/365</f>
        <v/>
      </c>
      <c r="F35" s="32">
        <f>D35*E35</f>
        <v/>
      </c>
    </row>
    <row r="36" ht="15.05" customHeight="1">
      <c r="A36" s="30" t="inlineStr">
        <is>
          <t>Télésurveillance</t>
        </is>
      </c>
      <c r="B36" s="31">
        <f>Paramètres!$C$8/38590.0</f>
        <v/>
      </c>
      <c r="C36" s="32">
        <f>'Récap MEAUX II 2025'!E61</f>
        <v/>
      </c>
      <c r="D36" s="32">
        <f>B36*C36</f>
        <v/>
      </c>
      <c r="E36" s="33">
        <f>Paramètres!$J$8/365</f>
        <v/>
      </c>
      <c r="F36" s="32">
        <f>D36*E36</f>
        <v/>
      </c>
    </row>
    <row r="37" ht="15.05" customHeight="1">
      <c r="A37" s="30" t="inlineStr">
        <is>
          <t>Toiture</t>
        </is>
      </c>
      <c r="B37" s="31">
        <f>Paramètres!$C$8/38590.0</f>
        <v/>
      </c>
      <c r="C37" s="32">
        <f>'Récap MEAUX II 2025'!E64</f>
        <v/>
      </c>
      <c r="D37" s="32">
        <f>B37*C37</f>
        <v/>
      </c>
      <c r="E37" s="33">
        <f>Paramètres!$J$8/365</f>
        <v/>
      </c>
      <c r="F37" s="32">
        <f>D37*E37</f>
        <v/>
      </c>
    </row>
    <row r="38" ht="15.05" customHeight="1">
      <c r="A38" s="30" t="inlineStr">
        <is>
          <t>Vérifications règlementaires</t>
        </is>
      </c>
      <c r="B38" s="31">
        <f>Paramètres!$C$8/38590.0</f>
        <v/>
      </c>
      <c r="C38" s="32">
        <f>'Récap MEAUX II 2025'!E67</f>
        <v/>
      </c>
      <c r="D38" s="32">
        <f>B38*C38</f>
        <v/>
      </c>
      <c r="E38" s="33">
        <f>Paramètres!$J$8/365</f>
        <v/>
      </c>
      <c r="F38" s="32">
        <f>D38*E38</f>
        <v/>
      </c>
    </row>
    <row r="39" ht="18" customHeight="1">
      <c r="A39" s="7" t="inlineStr">
        <is>
          <t>Sous-total — CONTRAT MAINTENANCE</t>
        </is>
      </c>
      <c r="C39" s="8">
        <f>SUM(C25:C38)</f>
        <v/>
      </c>
      <c r="D39" s="8">
        <f>SUM(D25:D38)</f>
        <v/>
      </c>
      <c r="E39" s="34" t="n"/>
      <c r="F39" s="8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0" t="inlineStr">
        <is>
          <t>Taxe Bureau &amp; Stationnement</t>
        </is>
      </c>
      <c r="B41" s="31">
        <f>Paramètres!$C$8/38590.0</f>
        <v/>
      </c>
      <c r="C41" s="32">
        <f>'Récap MEAUX II 2025'!E71</f>
        <v/>
      </c>
      <c r="D41" s="32">
        <f>B41*C41</f>
        <v/>
      </c>
      <c r="E41" s="33">
        <f>Paramètres!$J$8/365</f>
        <v/>
      </c>
      <c r="F41" s="32">
        <f>D41*E41</f>
        <v/>
      </c>
    </row>
    <row r="42" ht="18" customHeight="1">
      <c r="A42" s="7" t="inlineStr">
        <is>
          <t>Sous-total — TAXES</t>
        </is>
      </c>
      <c r="C42" s="8">
        <f>SUM(C41:C41)</f>
        <v/>
      </c>
      <c r="D42" s="8">
        <f>SUM(D41:D41)</f>
        <v/>
      </c>
      <c r="E42" s="34" t="n"/>
      <c r="F42" s="8">
        <f>SUM(F41:F41)</f>
        <v/>
      </c>
    </row>
    <row r="43" ht="6" customHeight="1"/>
    <row r="44" ht="7.55" customHeight="1"/>
    <row r="45" ht="21.75" customHeight="1">
      <c r="A45" s="10" t="inlineStr">
        <is>
          <t>TOTAL CHARGES RÉCUPÉRABLES RÉELLES (€ HT)</t>
        </is>
      </c>
      <c r="C45" s="11">
        <f>C9+C17+C20+C23+C39+C42</f>
        <v/>
      </c>
      <c r="D45" s="11">
        <f>D9+D17+D20+D23+D39+D42</f>
        <v/>
      </c>
      <c r="E45" s="37" t="n"/>
      <c r="F45" s="11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8" t="n"/>
      <c r="D47" s="26" t="inlineStr">
        <is>
          <t>Montant annuel (€)</t>
        </is>
      </c>
      <c r="E47" s="38" t="n"/>
      <c r="F47" s="26" t="inlineStr">
        <is>
          <t>Montant locataire (€)</t>
        </is>
      </c>
    </row>
    <row r="48" ht="15.8" customHeight="1">
      <c r="A48" s="19" t="inlineStr">
        <is>
          <t xml:space="preserve">  1er trimestre (T1)</t>
        </is>
      </c>
    </row>
    <row r="49" ht="15.8" customHeight="1">
      <c r="A49" s="19" t="inlineStr">
        <is>
          <t xml:space="preserve">  2e trimestre (T2)</t>
        </is>
      </c>
    </row>
    <row r="50" ht="15.8" customHeight="1">
      <c r="A50" s="19" t="inlineStr">
        <is>
          <t xml:space="preserve">  3e trimestre (T3)</t>
        </is>
      </c>
    </row>
    <row r="51" ht="15.8" customHeight="1">
      <c r="A51" s="19" t="inlineStr">
        <is>
          <t xml:space="preserve">  4e trimestre (T4)</t>
        </is>
      </c>
    </row>
    <row r="52" ht="18" customHeight="1">
      <c r="A52" s="7" t="inlineStr">
        <is>
          <t>Total provisions pour charges versées →</t>
        </is>
      </c>
      <c r="D52" s="8">
        <f>SUM(D48:D51)</f>
        <v/>
      </c>
      <c r="E52" s="34" t="n"/>
      <c r="F52" s="8">
        <f>SUM(F48:F51)</f>
        <v/>
      </c>
    </row>
    <row r="53" ht="7.55" customHeight="1"/>
    <row r="54" ht="21.75" customHeight="1">
      <c r="A54" s="39">
        <f>IF(F45-F52&gt;0,"SOLDE DÉBITEUR","SOLDE CRÉDITEUR")</f>
        <v/>
      </c>
      <c r="D54" s="40">
        <f>D45-D52</f>
        <v/>
      </c>
      <c r="E54" s="38" t="n"/>
      <c r="F54" s="40">
        <f>F45-F52</f>
        <v/>
      </c>
    </row>
    <row r="56" ht="27.75" customHeight="1">
      <c r="A56" s="41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C2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Paramètres!$B$9&amp;IF(Paramètres!$E$9&lt;&gt;""," — "&amp;Paramètres!$E$9,"")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Paramètres!$C$9/Paramètres!$C$3</f>
        <v/>
      </c>
      <c r="C7" s="32">
        <f>'Récap MEAUX II 2025'!E40</f>
        <v/>
      </c>
      <c r="D7" s="32">
        <f>B7*C7</f>
        <v/>
      </c>
      <c r="E7" s="33">
        <f>Paramètres!$J$9/365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Paramètres!$C$9/Paramètres!$C$3</f>
        <v/>
      </c>
      <c r="C8" s="32">
        <f>'Récap MEAUX II 2025'!E67</f>
        <v/>
      </c>
      <c r="D8" s="32">
        <f>B8*C8</f>
        <v/>
      </c>
      <c r="E8" s="33">
        <f>Paramètres!$J$9/365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Eau</t>
        </is>
      </c>
      <c r="B13" s="31">
        <f>Paramètres!$C$9/38590.0</f>
        <v/>
      </c>
      <c r="C13" s="32">
        <f>'Récap MEAUX II 2025'!E7</f>
        <v/>
      </c>
      <c r="D13" s="32">
        <f>B13*C13</f>
        <v/>
      </c>
      <c r="E13" s="33">
        <f>Paramètres!$H$9/365</f>
        <v/>
      </c>
      <c r="F13" s="32">
        <f>D13*E13</f>
        <v/>
      </c>
    </row>
    <row r="14" ht="15.05" customHeight="1">
      <c r="A14" s="30" t="inlineStr">
        <is>
          <t>Eau - Incendie</t>
        </is>
      </c>
      <c r="B14" s="31">
        <f>Paramètres!$C$9/38590.0</f>
        <v/>
      </c>
      <c r="C14" s="32">
        <f>'Récap MEAUX II 2025'!E10</f>
        <v/>
      </c>
      <c r="D14" s="32">
        <f>B14*C14</f>
        <v/>
      </c>
      <c r="E14" s="33">
        <f>Paramètres!$H$9/365</f>
        <v/>
      </c>
      <c r="F14" s="32">
        <f>D14*E14</f>
        <v/>
      </c>
    </row>
    <row r="15" ht="15.05" customHeight="1">
      <c r="A15" s="30" t="inlineStr">
        <is>
          <t>Electricité</t>
        </is>
      </c>
      <c r="B15" s="31">
        <f>Paramètres!$C$9/38590.0</f>
        <v/>
      </c>
      <c r="C15" s="32">
        <f>'Récap MEAUX II 2025'!E13</f>
        <v/>
      </c>
      <c r="D15" s="32">
        <f>B15*C15</f>
        <v/>
      </c>
      <c r="E15" s="33">
        <f>Paramètres!$H$9/365</f>
        <v/>
      </c>
      <c r="F15" s="32">
        <f>D15*E15</f>
        <v/>
      </c>
    </row>
    <row r="16" ht="15.05" customHeight="1">
      <c r="A16" s="30" t="inlineStr">
        <is>
          <t>Gaz</t>
        </is>
      </c>
      <c r="B16" s="31">
        <f>Paramètres!$C$9/38590.0</f>
        <v/>
      </c>
      <c r="C16" s="32">
        <f>'Récap MEAUX II 2025'!E16</f>
        <v/>
      </c>
      <c r="D16" s="32">
        <f>B16*C16</f>
        <v/>
      </c>
      <c r="E16" s="33">
        <f>Paramètres!$H$9/365</f>
        <v/>
      </c>
      <c r="F16" s="32">
        <f>D16*E16</f>
        <v/>
      </c>
    </row>
    <row r="17" ht="18" customHeight="1">
      <c r="A17" s="7" t="inlineStr">
        <is>
          <t>Sous-total — FLUIDES</t>
        </is>
      </c>
      <c r="C17" s="8">
        <f>SUM(C13:C16)</f>
        <v/>
      </c>
      <c r="D17" s="8">
        <f>SUM(D13:D16)</f>
        <v/>
      </c>
      <c r="E17" s="34" t="n"/>
      <c r="F17" s="8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0" t="inlineStr">
        <is>
          <t>Honoraires Divers</t>
        </is>
      </c>
      <c r="B19" s="31">
        <f>Paramètres!$C$9/38590.0</f>
        <v/>
      </c>
      <c r="C19" s="32">
        <f>'Récap MEAUX II 2025'!E20</f>
        <v/>
      </c>
      <c r="D19" s="32">
        <f>B19*C19</f>
        <v/>
      </c>
      <c r="E19" s="33">
        <f>Paramètres!$J$9/365</f>
        <v/>
      </c>
      <c r="F19" s="32">
        <f>D19*E19</f>
        <v/>
      </c>
    </row>
    <row r="20" ht="18" customHeight="1">
      <c r="A20" s="7" t="inlineStr">
        <is>
          <t>Sous-total — HONORAIRES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0" t="inlineStr">
        <is>
          <t>Entretien Courant</t>
        </is>
      </c>
      <c r="B22" s="31">
        <f>Paramètres!$C$9/38590.0</f>
        <v/>
      </c>
      <c r="C22" s="32">
        <f>'Récap MEAUX II 2025'!E24</f>
        <v/>
      </c>
      <c r="D22" s="32">
        <f>B22*C22</f>
        <v/>
      </c>
      <c r="E22" s="33">
        <f>Paramètres!$J$9/365</f>
        <v/>
      </c>
      <c r="F22" s="32">
        <f>D22*E22</f>
        <v/>
      </c>
    </row>
    <row r="23" ht="18" customHeight="1">
      <c r="A23" s="7" t="inlineStr">
        <is>
          <t>Sous-total — TRAVAUX</t>
        </is>
      </c>
      <c r="C23" s="8">
        <f>SUM(C22:C22)</f>
        <v/>
      </c>
      <c r="D23" s="8">
        <f>SUM(D22:D22)</f>
        <v/>
      </c>
      <c r="E23" s="34" t="n"/>
      <c r="F23" s="8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0" t="inlineStr">
        <is>
          <t>Ascenseur</t>
        </is>
      </c>
      <c r="B25" s="31">
        <f>Paramètres!$C$9/38590.0</f>
        <v/>
      </c>
      <c r="C25" s="32">
        <f>'Récap MEAUX II 2025'!E28</f>
        <v/>
      </c>
      <c r="D25" s="32">
        <f>B25*C25</f>
        <v/>
      </c>
      <c r="E25" s="33">
        <f>Paramètres!$J$9/365</f>
        <v/>
      </c>
      <c r="F25" s="32">
        <f>D25*E25</f>
        <v/>
      </c>
    </row>
    <row r="26" ht="15.05" customHeight="1">
      <c r="A26" s="30" t="inlineStr">
        <is>
          <t>Chaufferie</t>
        </is>
      </c>
      <c r="B26" s="31">
        <f>Paramètres!$C$9/38590.0</f>
        <v/>
      </c>
      <c r="C26" s="32">
        <f>'Récap MEAUX II 2025'!E31</f>
        <v/>
      </c>
      <c r="D26" s="32">
        <f>B26*C26</f>
        <v/>
      </c>
      <c r="E26" s="33">
        <f>Paramètres!$J$9/365</f>
        <v/>
      </c>
      <c r="F26" s="32">
        <f>D26*E26</f>
        <v/>
      </c>
    </row>
    <row r="27" ht="15.05" customHeight="1">
      <c r="A27" s="30" t="inlineStr">
        <is>
          <t>Désenfumage</t>
        </is>
      </c>
      <c r="B27" s="31">
        <f>Paramètres!$C$9/38590.0</f>
        <v/>
      </c>
      <c r="C27" s="32">
        <f>'Récap MEAUX II 2025'!E34</f>
        <v/>
      </c>
      <c r="D27" s="32">
        <f>B27*C27</f>
        <v/>
      </c>
      <c r="E27" s="33">
        <f>Paramètres!$J$9/365</f>
        <v/>
      </c>
      <c r="F27" s="32">
        <f>D27*E27</f>
        <v/>
      </c>
    </row>
    <row r="28" ht="15.05" customHeight="1">
      <c r="A28" s="30" t="inlineStr">
        <is>
          <t>Espaces verts</t>
        </is>
      </c>
      <c r="B28" s="31">
        <f>Paramètres!$C$9/38590.0</f>
        <v/>
      </c>
      <c r="C28" s="32">
        <f>'Récap MEAUX II 2025'!E37</f>
        <v/>
      </c>
      <c r="D28" s="32">
        <f>B28*C28</f>
        <v/>
      </c>
      <c r="E28" s="33">
        <f>Paramètres!$J$9/365</f>
        <v/>
      </c>
      <c r="F28" s="32">
        <f>D28*E28</f>
        <v/>
      </c>
    </row>
    <row r="29" ht="15.05" customHeight="1">
      <c r="A29" s="30" t="inlineStr">
        <is>
          <t>Portails + Barrières automatiques</t>
        </is>
      </c>
      <c r="B29" s="31">
        <f>Paramètres!$C$9/38590.0</f>
        <v/>
      </c>
      <c r="C29" s="32">
        <f>'Récap MEAUX II 2025'!E40</f>
        <v/>
      </c>
      <c r="D29" s="32">
        <f>B29*C29</f>
        <v/>
      </c>
      <c r="E29" s="33">
        <f>Paramètres!$J$9/365</f>
        <v/>
      </c>
      <c r="F29" s="32">
        <f>D29*E29</f>
        <v/>
      </c>
    </row>
    <row r="30" ht="15.05" customHeight="1">
      <c r="A30" s="30" t="inlineStr">
        <is>
          <t>Portes Coupe-Feu</t>
        </is>
      </c>
      <c r="B30" s="31">
        <f>Paramètres!$C$9/38590.0</f>
        <v/>
      </c>
      <c r="C30" s="32">
        <f>'Récap MEAUX II 2025'!E43</f>
        <v/>
      </c>
      <c r="D30" s="32">
        <f>B30*C30</f>
        <v/>
      </c>
      <c r="E30" s="33">
        <f>Paramètres!$J$9/365</f>
        <v/>
      </c>
      <c r="F30" s="32">
        <f>D30*E30</f>
        <v/>
      </c>
    </row>
    <row r="31" ht="15.05" customHeight="1">
      <c r="A31" s="30" t="inlineStr">
        <is>
          <t>Protection foudre</t>
        </is>
      </c>
      <c r="B31" s="31">
        <f>Paramètres!$C$9/38590.0</f>
        <v/>
      </c>
      <c r="C31" s="32">
        <f>'Récap MEAUX II 2025'!E46</f>
        <v/>
      </c>
      <c r="D31" s="32">
        <f>B31*C31</f>
        <v/>
      </c>
      <c r="E31" s="33">
        <f>Paramètres!$J$9/365</f>
        <v/>
      </c>
      <c r="F31" s="32">
        <f>D31*E31</f>
        <v/>
      </c>
    </row>
    <row r="32" ht="15.05" customHeight="1">
      <c r="A32" s="30" t="inlineStr">
        <is>
          <t>Quais &amp; Portes sectionnelles</t>
        </is>
      </c>
      <c r="B32" s="31">
        <f>Paramètres!$C$9/38590.0</f>
        <v/>
      </c>
      <c r="C32" s="32">
        <f>'Récap MEAUX II 2025'!E49</f>
        <v/>
      </c>
      <c r="D32" s="32">
        <f>B32*C32</f>
        <v/>
      </c>
      <c r="E32" s="33">
        <f>Paramètres!$J$9/365</f>
        <v/>
      </c>
      <c r="F32" s="32">
        <f>D32*E32</f>
        <v/>
      </c>
    </row>
    <row r="33" ht="15.05" customHeight="1">
      <c r="A33" s="30" t="inlineStr">
        <is>
          <t>Séparateur hydro.</t>
        </is>
      </c>
      <c r="B33" s="31">
        <f>Paramètres!$C$9/38590.0</f>
        <v/>
      </c>
      <c r="C33" s="32">
        <f>'Récap MEAUX II 2025'!E52</f>
        <v/>
      </c>
      <c r="D33" s="32">
        <f>B33*C33</f>
        <v/>
      </c>
      <c r="E33" s="33">
        <f>Paramètres!$J$9/365</f>
        <v/>
      </c>
      <c r="F33" s="32">
        <f>D33*E33</f>
        <v/>
      </c>
    </row>
    <row r="34" ht="15.05" customHeight="1">
      <c r="A34" s="30" t="inlineStr">
        <is>
          <t>Sprinklers - RIA - PI - Fioul</t>
        </is>
      </c>
      <c r="B34" s="31">
        <f>Paramètres!$C$9/38590.0</f>
        <v/>
      </c>
      <c r="C34" s="32">
        <f>'Récap MEAUX II 2025'!E55</f>
        <v/>
      </c>
      <c r="D34" s="32">
        <f>B34*C34</f>
        <v/>
      </c>
      <c r="E34" s="33">
        <f>Paramètres!$J$9/365</f>
        <v/>
      </c>
      <c r="F34" s="32">
        <f>D34*E34</f>
        <v/>
      </c>
    </row>
    <row r="35" ht="15.05" customHeight="1">
      <c r="A35" s="30" t="inlineStr">
        <is>
          <t>SSI</t>
        </is>
      </c>
      <c r="B35" s="31">
        <f>Paramètres!$C$9/38590.0</f>
        <v/>
      </c>
      <c r="C35" s="32">
        <f>'Récap MEAUX II 2025'!E58</f>
        <v/>
      </c>
      <c r="D35" s="32">
        <f>B35*C35</f>
        <v/>
      </c>
      <c r="E35" s="33">
        <f>Paramètres!$J$9/365</f>
        <v/>
      </c>
      <c r="F35" s="32">
        <f>D35*E35</f>
        <v/>
      </c>
    </row>
    <row r="36" ht="15.05" customHeight="1">
      <c r="A36" s="30" t="inlineStr">
        <is>
          <t>Télésurveillance</t>
        </is>
      </c>
      <c r="B36" s="31">
        <f>Paramètres!$C$9/38590.0</f>
        <v/>
      </c>
      <c r="C36" s="32">
        <f>'Récap MEAUX II 2025'!E61</f>
        <v/>
      </c>
      <c r="D36" s="32">
        <f>B36*C36</f>
        <v/>
      </c>
      <c r="E36" s="33">
        <f>Paramètres!$J$9/365</f>
        <v/>
      </c>
      <c r="F36" s="32">
        <f>D36*E36</f>
        <v/>
      </c>
    </row>
    <row r="37" ht="15.05" customHeight="1">
      <c r="A37" s="30" t="inlineStr">
        <is>
          <t>Toiture</t>
        </is>
      </c>
      <c r="B37" s="31">
        <f>Paramètres!$C$9/38590.0</f>
        <v/>
      </c>
      <c r="C37" s="32">
        <f>'Récap MEAUX II 2025'!E64</f>
        <v/>
      </c>
      <c r="D37" s="32">
        <f>B37*C37</f>
        <v/>
      </c>
      <c r="E37" s="33">
        <f>Paramètres!$J$9/365</f>
        <v/>
      </c>
      <c r="F37" s="32">
        <f>D37*E37</f>
        <v/>
      </c>
    </row>
    <row r="38" ht="15.05" customHeight="1">
      <c r="A38" s="30" t="inlineStr">
        <is>
          <t>Vérifications règlementaires</t>
        </is>
      </c>
      <c r="B38" s="31">
        <f>Paramètres!$C$9/38590.0</f>
        <v/>
      </c>
      <c r="C38" s="32">
        <f>'Récap MEAUX II 2025'!E67</f>
        <v/>
      </c>
      <c r="D38" s="32">
        <f>B38*C38</f>
        <v/>
      </c>
      <c r="E38" s="33">
        <f>Paramètres!$J$9/365</f>
        <v/>
      </c>
      <c r="F38" s="32">
        <f>D38*E38</f>
        <v/>
      </c>
    </row>
    <row r="39" ht="18" customHeight="1">
      <c r="A39" s="7" t="inlineStr">
        <is>
          <t>Sous-total — CONTRAT MAINTENANCE</t>
        </is>
      </c>
      <c r="C39" s="8">
        <f>SUM(C25:C38)</f>
        <v/>
      </c>
      <c r="D39" s="8">
        <f>SUM(D25:D38)</f>
        <v/>
      </c>
      <c r="E39" s="34" t="n"/>
      <c r="F39" s="8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0" t="inlineStr">
        <is>
          <t>Taxe Bureau &amp; Stationnement</t>
        </is>
      </c>
      <c r="B41" s="31">
        <f>Paramètres!$C$9/38590.0</f>
        <v/>
      </c>
      <c r="C41" s="32">
        <f>'Récap MEAUX II 2025'!E71</f>
        <v/>
      </c>
      <c r="D41" s="32">
        <f>B41*C41</f>
        <v/>
      </c>
      <c r="E41" s="33">
        <f>Paramètres!$J$9/365</f>
        <v/>
      </c>
      <c r="F41" s="32">
        <f>D41*E41</f>
        <v/>
      </c>
    </row>
    <row r="42" ht="18" customHeight="1">
      <c r="A42" s="7" t="inlineStr">
        <is>
          <t>Sous-total — TAXES</t>
        </is>
      </c>
      <c r="C42" s="8">
        <f>SUM(C41:C41)</f>
        <v/>
      </c>
      <c r="D42" s="8">
        <f>SUM(D41:D41)</f>
        <v/>
      </c>
      <c r="E42" s="34" t="n"/>
      <c r="F42" s="8">
        <f>SUM(F41:F41)</f>
        <v/>
      </c>
    </row>
    <row r="43" ht="6" customHeight="1"/>
    <row r="44" ht="7.55" customHeight="1"/>
    <row r="45" ht="21.75" customHeight="1">
      <c r="A45" s="10" t="inlineStr">
        <is>
          <t>TOTAL CHARGES RÉCUPÉRABLES RÉELLES (€ HT)</t>
        </is>
      </c>
      <c r="C45" s="11">
        <f>C9+C17+C20+C23+C39+C42</f>
        <v/>
      </c>
      <c r="D45" s="11">
        <f>D9+D17+D20+D23+D39+D42</f>
        <v/>
      </c>
      <c r="E45" s="37" t="n"/>
      <c r="F45" s="11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8" t="n"/>
      <c r="D47" s="26" t="inlineStr">
        <is>
          <t>Montant annuel (€)</t>
        </is>
      </c>
      <c r="E47" s="38" t="n"/>
      <c r="F47" s="26" t="inlineStr">
        <is>
          <t>Montant locataire (€)</t>
        </is>
      </c>
    </row>
    <row r="48" ht="15.8" customHeight="1">
      <c r="A48" s="19" t="inlineStr">
        <is>
          <t xml:space="preserve">  1er trimestre (T1)</t>
        </is>
      </c>
    </row>
    <row r="49" ht="15.8" customHeight="1">
      <c r="A49" s="19" t="inlineStr">
        <is>
          <t xml:space="preserve">  2e trimestre (T2)</t>
        </is>
      </c>
    </row>
    <row r="50" ht="15.8" customHeight="1">
      <c r="A50" s="19" t="inlineStr">
        <is>
          <t xml:space="preserve">  3e trimestre (T3)</t>
        </is>
      </c>
    </row>
    <row r="51" ht="15.8" customHeight="1">
      <c r="A51" s="19" t="inlineStr">
        <is>
          <t xml:space="preserve">  4e trimestre (T4)</t>
        </is>
      </c>
    </row>
    <row r="52" ht="18" customHeight="1">
      <c r="A52" s="7" t="inlineStr">
        <is>
          <t>Total provisions pour charges versées →</t>
        </is>
      </c>
      <c r="D52" s="8">
        <f>SUM(D48:D51)</f>
        <v/>
      </c>
      <c r="E52" s="34" t="n"/>
      <c r="F52" s="8">
        <f>SUM(F48:F51)</f>
        <v/>
      </c>
    </row>
    <row r="53" ht="7.55" customHeight="1"/>
    <row r="54" ht="21.75" customHeight="1">
      <c r="A54" s="39">
        <f>IF(F45-F52&gt;0,"SOLDE DÉBITEUR","SOLDE CRÉDITEUR")</f>
        <v/>
      </c>
      <c r="D54" s="40">
        <f>D45-D52</f>
        <v/>
      </c>
      <c r="E54" s="38" t="n"/>
      <c r="F54" s="40">
        <f>F45-F52</f>
        <v/>
      </c>
    </row>
    <row r="56" ht="27.75" customHeight="1">
      <c r="A56" s="41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C3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Paramètres!$B$10&amp;IF(Paramètres!$E$10&lt;&gt;""," — "&amp;Paramètres!$E$10,"")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Paramètres!$C$10/Paramètres!$C$3</f>
        <v/>
      </c>
      <c r="C7" s="32">
        <f>'Récap MEAUX II 2025'!E40</f>
        <v/>
      </c>
      <c r="D7" s="32">
        <f>B7*C7</f>
        <v/>
      </c>
      <c r="E7" s="33">
        <f>Paramètres!$J$10/365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Paramètres!$C$10/Paramètres!$C$3</f>
        <v/>
      </c>
      <c r="C8" s="32">
        <f>'Récap MEAUX II 2025'!E67</f>
        <v/>
      </c>
      <c r="D8" s="32">
        <f>B8*C8</f>
        <v/>
      </c>
      <c r="E8" s="33">
        <f>Paramètres!$J$10/365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Eau</t>
        </is>
      </c>
      <c r="B13" s="31">
        <f>Paramètres!$C$10/38590.0</f>
        <v/>
      </c>
      <c r="C13" s="32">
        <f>'Récap MEAUX II 2025'!E7</f>
        <v/>
      </c>
      <c r="D13" s="32">
        <f>B13*C13</f>
        <v/>
      </c>
      <c r="E13" s="33">
        <f>Paramètres!$H$10/365</f>
        <v/>
      </c>
      <c r="F13" s="32">
        <f>D13*E13</f>
        <v/>
      </c>
    </row>
    <row r="14" ht="15.05" customHeight="1">
      <c r="A14" s="30" t="inlineStr">
        <is>
          <t>Eau - Incendie</t>
        </is>
      </c>
      <c r="B14" s="31">
        <f>Paramètres!$C$10/38590.0</f>
        <v/>
      </c>
      <c r="C14" s="32">
        <f>'Récap MEAUX II 2025'!E10</f>
        <v/>
      </c>
      <c r="D14" s="32">
        <f>B14*C14</f>
        <v/>
      </c>
      <c r="E14" s="33">
        <f>Paramètres!$H$10/365</f>
        <v/>
      </c>
      <c r="F14" s="32">
        <f>D14*E14</f>
        <v/>
      </c>
    </row>
    <row r="15" ht="15.05" customHeight="1">
      <c r="A15" s="30" t="inlineStr">
        <is>
          <t>Electricité</t>
        </is>
      </c>
      <c r="B15" s="31">
        <f>Paramètres!$C$10/38590.0</f>
        <v/>
      </c>
      <c r="C15" s="32">
        <f>'Récap MEAUX II 2025'!E13</f>
        <v/>
      </c>
      <c r="D15" s="32">
        <f>B15*C15</f>
        <v/>
      </c>
      <c r="E15" s="33">
        <f>Paramètres!$H$10/365</f>
        <v/>
      </c>
      <c r="F15" s="32">
        <f>D15*E15</f>
        <v/>
      </c>
    </row>
    <row r="16" ht="15.05" customHeight="1">
      <c r="A16" s="30" t="inlineStr">
        <is>
          <t>Gaz</t>
        </is>
      </c>
      <c r="B16" s="31">
        <f>Paramètres!$C$10/38590.0</f>
        <v/>
      </c>
      <c r="C16" s="32">
        <f>'Récap MEAUX II 2025'!E16</f>
        <v/>
      </c>
      <c r="D16" s="32">
        <f>B16*C16</f>
        <v/>
      </c>
      <c r="E16" s="33">
        <f>Paramètres!$H$10/365</f>
        <v/>
      </c>
      <c r="F16" s="32">
        <f>D16*E16</f>
        <v/>
      </c>
    </row>
    <row r="17" ht="18" customHeight="1">
      <c r="A17" s="7" t="inlineStr">
        <is>
          <t>Sous-total — FLUIDES</t>
        </is>
      </c>
      <c r="C17" s="8">
        <f>SUM(C13:C16)</f>
        <v/>
      </c>
      <c r="D17" s="8">
        <f>SUM(D13:D16)</f>
        <v/>
      </c>
      <c r="E17" s="34" t="n"/>
      <c r="F17" s="8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0" t="inlineStr">
        <is>
          <t>Honoraires Divers</t>
        </is>
      </c>
      <c r="B19" s="31">
        <f>Paramètres!$C$10/38590.0</f>
        <v/>
      </c>
      <c r="C19" s="32">
        <f>'Récap MEAUX II 2025'!E20</f>
        <v/>
      </c>
      <c r="D19" s="32">
        <f>B19*C19</f>
        <v/>
      </c>
      <c r="E19" s="33">
        <f>Paramètres!$J$10/365</f>
        <v/>
      </c>
      <c r="F19" s="32">
        <f>D19*E19</f>
        <v/>
      </c>
    </row>
    <row r="20" ht="18" customHeight="1">
      <c r="A20" s="7" t="inlineStr">
        <is>
          <t>Sous-total — HONORAIRES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0" t="inlineStr">
        <is>
          <t>Entretien Courant</t>
        </is>
      </c>
      <c r="B22" s="31">
        <f>Paramètres!$C$10/38590.0</f>
        <v/>
      </c>
      <c r="C22" s="32">
        <f>'Récap MEAUX II 2025'!E24</f>
        <v/>
      </c>
      <c r="D22" s="32">
        <f>B22*C22</f>
        <v/>
      </c>
      <c r="E22" s="33">
        <f>Paramètres!$J$10/365</f>
        <v/>
      </c>
      <c r="F22" s="32">
        <f>D22*E22</f>
        <v/>
      </c>
    </row>
    <row r="23" ht="18" customHeight="1">
      <c r="A23" s="7" t="inlineStr">
        <is>
          <t>Sous-total — TRAVAUX</t>
        </is>
      </c>
      <c r="C23" s="8">
        <f>SUM(C22:C22)</f>
        <v/>
      </c>
      <c r="D23" s="8">
        <f>SUM(D22:D22)</f>
        <v/>
      </c>
      <c r="E23" s="34" t="n"/>
      <c r="F23" s="8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0" t="inlineStr">
        <is>
          <t>Ascenseur</t>
        </is>
      </c>
      <c r="B25" s="31">
        <f>Paramètres!$C$10/38590.0</f>
        <v/>
      </c>
      <c r="C25" s="32">
        <f>'Récap MEAUX II 2025'!E28</f>
        <v/>
      </c>
      <c r="D25" s="32">
        <f>B25*C25</f>
        <v/>
      </c>
      <c r="E25" s="33">
        <f>Paramètres!$J$10/365</f>
        <v/>
      </c>
      <c r="F25" s="32">
        <f>D25*E25</f>
        <v/>
      </c>
    </row>
    <row r="26" ht="15.05" customHeight="1">
      <c r="A26" s="30" t="inlineStr">
        <is>
          <t>Chaufferie</t>
        </is>
      </c>
      <c r="B26" s="31">
        <f>Paramètres!$C$10/38590.0</f>
        <v/>
      </c>
      <c r="C26" s="32">
        <f>'Récap MEAUX II 2025'!E31</f>
        <v/>
      </c>
      <c r="D26" s="32">
        <f>B26*C26</f>
        <v/>
      </c>
      <c r="E26" s="33">
        <f>Paramètres!$J$10/365</f>
        <v/>
      </c>
      <c r="F26" s="32">
        <f>D26*E26</f>
        <v/>
      </c>
    </row>
    <row r="27" ht="15.05" customHeight="1">
      <c r="A27" s="30" t="inlineStr">
        <is>
          <t>Désenfumage</t>
        </is>
      </c>
      <c r="B27" s="31">
        <f>Paramètres!$C$10/38590.0</f>
        <v/>
      </c>
      <c r="C27" s="32">
        <f>'Récap MEAUX II 2025'!E34</f>
        <v/>
      </c>
      <c r="D27" s="32">
        <f>B27*C27</f>
        <v/>
      </c>
      <c r="E27" s="33">
        <f>Paramètres!$J$10/365</f>
        <v/>
      </c>
      <c r="F27" s="32">
        <f>D27*E27</f>
        <v/>
      </c>
    </row>
    <row r="28" ht="15.05" customHeight="1">
      <c r="A28" s="30" t="inlineStr">
        <is>
          <t>Espaces verts</t>
        </is>
      </c>
      <c r="B28" s="31">
        <f>Paramètres!$C$10/38590.0</f>
        <v/>
      </c>
      <c r="C28" s="32">
        <f>'Récap MEAUX II 2025'!E37</f>
        <v/>
      </c>
      <c r="D28" s="32">
        <f>B28*C28</f>
        <v/>
      </c>
      <c r="E28" s="33">
        <f>Paramètres!$J$10/365</f>
        <v/>
      </c>
      <c r="F28" s="32">
        <f>D28*E28</f>
        <v/>
      </c>
    </row>
    <row r="29" ht="15.05" customHeight="1">
      <c r="A29" s="30" t="inlineStr">
        <is>
          <t>Portails + Barrières automatiques</t>
        </is>
      </c>
      <c r="B29" s="31">
        <f>Paramètres!$C$10/38590.0</f>
        <v/>
      </c>
      <c r="C29" s="32">
        <f>'Récap MEAUX II 2025'!E40</f>
        <v/>
      </c>
      <c r="D29" s="32">
        <f>B29*C29</f>
        <v/>
      </c>
      <c r="E29" s="33">
        <f>Paramètres!$J$10/365</f>
        <v/>
      </c>
      <c r="F29" s="32">
        <f>D29*E29</f>
        <v/>
      </c>
    </row>
    <row r="30" ht="15.05" customHeight="1">
      <c r="A30" s="30" t="inlineStr">
        <is>
          <t>Portes Coupe-Feu</t>
        </is>
      </c>
      <c r="B30" s="31">
        <f>Paramètres!$C$10/38590.0</f>
        <v/>
      </c>
      <c r="C30" s="32">
        <f>'Récap MEAUX II 2025'!E43</f>
        <v/>
      </c>
      <c r="D30" s="32">
        <f>B30*C30</f>
        <v/>
      </c>
      <c r="E30" s="33">
        <f>Paramètres!$J$10/365</f>
        <v/>
      </c>
      <c r="F30" s="32">
        <f>D30*E30</f>
        <v/>
      </c>
    </row>
    <row r="31" ht="15.05" customHeight="1">
      <c r="A31" s="30" t="inlineStr">
        <is>
          <t>Protection foudre</t>
        </is>
      </c>
      <c r="B31" s="31">
        <f>Paramètres!$C$10/38590.0</f>
        <v/>
      </c>
      <c r="C31" s="32">
        <f>'Récap MEAUX II 2025'!E46</f>
        <v/>
      </c>
      <c r="D31" s="32">
        <f>B31*C31</f>
        <v/>
      </c>
      <c r="E31" s="33">
        <f>Paramètres!$J$10/365</f>
        <v/>
      </c>
      <c r="F31" s="32">
        <f>D31*E31</f>
        <v/>
      </c>
    </row>
    <row r="32" ht="15.05" customHeight="1">
      <c r="A32" s="30" t="inlineStr">
        <is>
          <t>Quais &amp; Portes sectionnelles</t>
        </is>
      </c>
      <c r="B32" s="31">
        <f>Paramètres!$C$10/38590.0</f>
        <v/>
      </c>
      <c r="C32" s="32">
        <f>'Récap MEAUX II 2025'!E49</f>
        <v/>
      </c>
      <c r="D32" s="32">
        <f>B32*C32</f>
        <v/>
      </c>
      <c r="E32" s="33">
        <f>Paramètres!$J$10/365</f>
        <v/>
      </c>
      <c r="F32" s="32">
        <f>D32*E32</f>
        <v/>
      </c>
    </row>
    <row r="33" ht="15.05" customHeight="1">
      <c r="A33" s="30" t="inlineStr">
        <is>
          <t>Séparateur hydro.</t>
        </is>
      </c>
      <c r="B33" s="31">
        <f>Paramètres!$C$10/38590.0</f>
        <v/>
      </c>
      <c r="C33" s="32">
        <f>'Récap MEAUX II 2025'!E52</f>
        <v/>
      </c>
      <c r="D33" s="32">
        <f>B33*C33</f>
        <v/>
      </c>
      <c r="E33" s="33">
        <f>Paramètres!$J$10/365</f>
        <v/>
      </c>
      <c r="F33" s="32">
        <f>D33*E33</f>
        <v/>
      </c>
    </row>
    <row r="34" ht="15.05" customHeight="1">
      <c r="A34" s="30" t="inlineStr">
        <is>
          <t>Sprinklers - RIA - PI - Fioul</t>
        </is>
      </c>
      <c r="B34" s="31">
        <f>Paramètres!$C$10/38590.0</f>
        <v/>
      </c>
      <c r="C34" s="32">
        <f>'Récap MEAUX II 2025'!E55</f>
        <v/>
      </c>
      <c r="D34" s="32">
        <f>B34*C34</f>
        <v/>
      </c>
      <c r="E34" s="33">
        <f>Paramètres!$J$10/365</f>
        <v/>
      </c>
      <c r="F34" s="32">
        <f>D34*E34</f>
        <v/>
      </c>
    </row>
    <row r="35" ht="15.05" customHeight="1">
      <c r="A35" s="30" t="inlineStr">
        <is>
          <t>SSI</t>
        </is>
      </c>
      <c r="B35" s="31">
        <f>Paramètres!$C$10/38590.0</f>
        <v/>
      </c>
      <c r="C35" s="32">
        <f>'Récap MEAUX II 2025'!E58</f>
        <v/>
      </c>
      <c r="D35" s="32">
        <f>B35*C35</f>
        <v/>
      </c>
      <c r="E35" s="33">
        <f>Paramètres!$J$10/365</f>
        <v/>
      </c>
      <c r="F35" s="32">
        <f>D35*E35</f>
        <v/>
      </c>
    </row>
    <row r="36" ht="15.05" customHeight="1">
      <c r="A36" s="30" t="inlineStr">
        <is>
          <t>Télésurveillance</t>
        </is>
      </c>
      <c r="B36" s="31">
        <f>Paramètres!$C$10/38590.0</f>
        <v/>
      </c>
      <c r="C36" s="32">
        <f>'Récap MEAUX II 2025'!E61</f>
        <v/>
      </c>
      <c r="D36" s="32">
        <f>B36*C36</f>
        <v/>
      </c>
      <c r="E36" s="33">
        <f>Paramètres!$J$10/365</f>
        <v/>
      </c>
      <c r="F36" s="32">
        <f>D36*E36</f>
        <v/>
      </c>
    </row>
    <row r="37" ht="15.05" customHeight="1">
      <c r="A37" s="30" t="inlineStr">
        <is>
          <t>Toiture</t>
        </is>
      </c>
      <c r="B37" s="31">
        <f>Paramètres!$C$10/38590.0</f>
        <v/>
      </c>
      <c r="C37" s="32">
        <f>'Récap MEAUX II 2025'!E64</f>
        <v/>
      </c>
      <c r="D37" s="32">
        <f>B37*C37</f>
        <v/>
      </c>
      <c r="E37" s="33">
        <f>Paramètres!$J$10/365</f>
        <v/>
      </c>
      <c r="F37" s="32">
        <f>D37*E37</f>
        <v/>
      </c>
    </row>
    <row r="38" ht="15.05" customHeight="1">
      <c r="A38" s="30" t="inlineStr">
        <is>
          <t>Vérifications règlementaires</t>
        </is>
      </c>
      <c r="B38" s="31">
        <f>Paramètres!$C$10/38590.0</f>
        <v/>
      </c>
      <c r="C38" s="32">
        <f>'Récap MEAUX II 2025'!E67</f>
        <v/>
      </c>
      <c r="D38" s="32">
        <f>B38*C38</f>
        <v/>
      </c>
      <c r="E38" s="33">
        <f>Paramètres!$J$10/365</f>
        <v/>
      </c>
      <c r="F38" s="32">
        <f>D38*E38</f>
        <v/>
      </c>
    </row>
    <row r="39" ht="18" customHeight="1">
      <c r="A39" s="7" t="inlineStr">
        <is>
          <t>Sous-total — CONTRAT MAINTENANCE</t>
        </is>
      </c>
      <c r="C39" s="8">
        <f>SUM(C25:C38)</f>
        <v/>
      </c>
      <c r="D39" s="8">
        <f>SUM(D25:D38)</f>
        <v/>
      </c>
      <c r="E39" s="34" t="n"/>
      <c r="F39" s="8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0" t="inlineStr">
        <is>
          <t>Taxe Bureau &amp; Stationnement</t>
        </is>
      </c>
      <c r="B41" s="31">
        <f>Paramètres!$C$10/38590.0</f>
        <v/>
      </c>
      <c r="C41" s="32">
        <f>'Récap MEAUX II 2025'!E71</f>
        <v/>
      </c>
      <c r="D41" s="32">
        <f>B41*C41</f>
        <v/>
      </c>
      <c r="E41" s="33">
        <f>Paramètres!$J$10/365</f>
        <v/>
      </c>
      <c r="F41" s="32">
        <f>D41*E41</f>
        <v/>
      </c>
    </row>
    <row r="42" ht="18" customHeight="1">
      <c r="A42" s="7" t="inlineStr">
        <is>
          <t>Sous-total — TAXES</t>
        </is>
      </c>
      <c r="C42" s="8">
        <f>SUM(C41:C41)</f>
        <v/>
      </c>
      <c r="D42" s="8">
        <f>SUM(D41:D41)</f>
        <v/>
      </c>
      <c r="E42" s="34" t="n"/>
      <c r="F42" s="8">
        <f>SUM(F41:F41)</f>
        <v/>
      </c>
    </row>
    <row r="43" ht="6" customHeight="1"/>
    <row r="44" ht="7.55" customHeight="1"/>
    <row r="45" ht="21.75" customHeight="1">
      <c r="A45" s="10" t="inlineStr">
        <is>
          <t>TOTAL CHARGES RÉCUPÉRABLES RÉELLES (€ HT)</t>
        </is>
      </c>
      <c r="C45" s="11">
        <f>C9+C17+C20+C23+C39+C42</f>
        <v/>
      </c>
      <c r="D45" s="11">
        <f>D9+D17+D20+D23+D39+D42</f>
        <v/>
      </c>
      <c r="E45" s="37" t="n"/>
      <c r="F45" s="11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8" t="n"/>
      <c r="D47" s="26" t="inlineStr">
        <is>
          <t>Montant annuel (€)</t>
        </is>
      </c>
      <c r="E47" s="38" t="n"/>
      <c r="F47" s="26" t="inlineStr">
        <is>
          <t>Montant locataire (€)</t>
        </is>
      </c>
    </row>
    <row r="48" ht="15.8" customHeight="1">
      <c r="A48" s="19" t="inlineStr">
        <is>
          <t xml:space="preserve">  1er trimestre (T1)</t>
        </is>
      </c>
    </row>
    <row r="49" ht="15.8" customHeight="1">
      <c r="A49" s="19" t="inlineStr">
        <is>
          <t xml:space="preserve">  2e trimestre (T2)</t>
        </is>
      </c>
    </row>
    <row r="50" ht="15.8" customHeight="1">
      <c r="A50" s="19" t="inlineStr">
        <is>
          <t xml:space="preserve">  3e trimestre (T3)</t>
        </is>
      </c>
    </row>
    <row r="51" ht="15.8" customHeight="1">
      <c r="A51" s="19" t="inlineStr">
        <is>
          <t xml:space="preserve">  4e trimestre (T4)</t>
        </is>
      </c>
    </row>
    <row r="52" ht="18" customHeight="1">
      <c r="A52" s="7" t="inlineStr">
        <is>
          <t>Total provisions pour charges versées →</t>
        </is>
      </c>
      <c r="D52" s="8">
        <f>SUM(D48:D51)</f>
        <v/>
      </c>
      <c r="E52" s="34" t="n"/>
      <c r="F52" s="8">
        <f>SUM(F48:F51)</f>
        <v/>
      </c>
    </row>
    <row r="53" ht="7.55" customHeight="1"/>
    <row r="54" ht="21.75" customHeight="1">
      <c r="A54" s="39">
        <f>IF(F45-F52&gt;0,"SOLDE DÉBITEUR","SOLDE CRÉDITEUR")</f>
        <v/>
      </c>
      <c r="D54" s="40">
        <f>D45-D52</f>
        <v/>
      </c>
      <c r="E54" s="38" t="n"/>
      <c r="F54" s="40">
        <f>F45-F52</f>
        <v/>
      </c>
    </row>
    <row r="56" ht="27.75" customHeight="1">
      <c r="A56" s="41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C4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Paramètres!$B$11&amp;IF(Paramètres!$E$11&lt;&gt;""," — "&amp;Paramètres!$E$11,"")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0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Paramètres!$C$11/Paramètres!$C$3</f>
        <v/>
      </c>
      <c r="C7" s="32">
        <f>'Récap MEAUX II 2025'!E40</f>
        <v/>
      </c>
      <c r="D7" s="32">
        <f>B7*C7</f>
        <v/>
      </c>
      <c r="E7" s="33">
        <f>Paramètres!$J$11/365</f>
        <v/>
      </c>
      <c r="F7" s="32">
        <f>D7*E7</f>
        <v/>
      </c>
    </row>
    <row r="8" ht="15.05" customHeight="1">
      <c r="A8" s="30" t="inlineStr">
        <is>
          <t>Vérifications règlementaires</t>
        </is>
      </c>
      <c r="B8" s="31">
        <f>Paramètres!$C$11/Paramètres!$C$3</f>
        <v/>
      </c>
      <c r="C8" s="32">
        <f>'Récap MEAUX II 2025'!E67</f>
        <v/>
      </c>
      <c r="D8" s="32">
        <f>B8*C8</f>
        <v/>
      </c>
      <c r="E8" s="33">
        <f>Paramètres!$J$11/365</f>
        <v/>
      </c>
      <c r="F8" s="32">
        <f>D8*E8</f>
        <v/>
      </c>
    </row>
    <row r="9" ht="18" customHeight="1">
      <c r="A9" s="7" t="inlineStr">
        <is>
          <t>Sous-total — CONTRAT MAINTENANCE</t>
        </is>
      </c>
      <c r="C9" s="8">
        <f>SUM(C7:C8)</f>
        <v/>
      </c>
      <c r="D9" s="8">
        <f>SUM(D7:D8)</f>
        <v/>
      </c>
      <c r="E9" s="34" t="n"/>
      <c r="F9" s="8">
        <f>SUM(F7:F8)</f>
        <v/>
      </c>
    </row>
    <row r="10" ht="6" customHeight="1"/>
    <row r="11" ht="20" customHeight="1">
      <c r="A11" s="10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0" t="inlineStr">
        <is>
          <t>Eau</t>
        </is>
      </c>
      <c r="B13" s="31">
        <f>Paramètres!$C$11/38590.0</f>
        <v/>
      </c>
      <c r="C13" s="32">
        <f>'Récap MEAUX II 2025'!E7</f>
        <v/>
      </c>
      <c r="D13" s="32">
        <f>B13*C13</f>
        <v/>
      </c>
      <c r="E13" s="33">
        <f>Paramètres!$H$11/365</f>
        <v/>
      </c>
      <c r="F13" s="32">
        <f>D13*E13</f>
        <v/>
      </c>
    </row>
    <row r="14" ht="15.05" customHeight="1">
      <c r="A14" s="30" t="inlineStr">
        <is>
          <t>Eau - Incendie</t>
        </is>
      </c>
      <c r="B14" s="31">
        <f>Paramètres!$C$11/38590.0</f>
        <v/>
      </c>
      <c r="C14" s="32">
        <f>'Récap MEAUX II 2025'!E10</f>
        <v/>
      </c>
      <c r="D14" s="32">
        <f>B14*C14</f>
        <v/>
      </c>
      <c r="E14" s="33">
        <f>Paramètres!$H$11/365</f>
        <v/>
      </c>
      <c r="F14" s="32">
        <f>D14*E14</f>
        <v/>
      </c>
    </row>
    <row r="15" ht="15.05" customHeight="1">
      <c r="A15" s="30" t="inlineStr">
        <is>
          <t>Electricité</t>
        </is>
      </c>
      <c r="B15" s="31">
        <f>Paramètres!$C$11/38590.0</f>
        <v/>
      </c>
      <c r="C15" s="32">
        <f>'Récap MEAUX II 2025'!E13</f>
        <v/>
      </c>
      <c r="D15" s="32">
        <f>B15*C15</f>
        <v/>
      </c>
      <c r="E15" s="33">
        <f>Paramètres!$H$11/365</f>
        <v/>
      </c>
      <c r="F15" s="32">
        <f>D15*E15</f>
        <v/>
      </c>
    </row>
    <row r="16" ht="15.05" customHeight="1">
      <c r="A16" s="30" t="inlineStr">
        <is>
          <t>Gaz</t>
        </is>
      </c>
      <c r="B16" s="31">
        <f>Paramètres!$C$11/38590.0</f>
        <v/>
      </c>
      <c r="C16" s="32">
        <f>'Récap MEAUX II 2025'!E16</f>
        <v/>
      </c>
      <c r="D16" s="32">
        <f>B16*C16</f>
        <v/>
      </c>
      <c r="E16" s="33">
        <f>Paramètres!$H$11/365</f>
        <v/>
      </c>
      <c r="F16" s="32">
        <f>D16*E16</f>
        <v/>
      </c>
    </row>
    <row r="17" ht="18" customHeight="1">
      <c r="A17" s="7" t="inlineStr">
        <is>
          <t>Sous-total — FLUIDES</t>
        </is>
      </c>
      <c r="C17" s="8">
        <f>SUM(C13:C16)</f>
        <v/>
      </c>
      <c r="D17" s="8">
        <f>SUM(D13:D16)</f>
        <v/>
      </c>
      <c r="E17" s="34" t="n"/>
      <c r="F17" s="8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0" t="inlineStr">
        <is>
          <t>Honoraires Divers</t>
        </is>
      </c>
      <c r="B19" s="31">
        <f>Paramètres!$C$11/38590.0</f>
        <v/>
      </c>
      <c r="C19" s="32">
        <f>'Récap MEAUX II 2025'!E20</f>
        <v/>
      </c>
      <c r="D19" s="32">
        <f>B19*C19</f>
        <v/>
      </c>
      <c r="E19" s="33">
        <f>Paramètres!$J$11/365</f>
        <v/>
      </c>
      <c r="F19" s="32">
        <f>D19*E19</f>
        <v/>
      </c>
    </row>
    <row r="20" ht="18" customHeight="1">
      <c r="A20" s="7" t="inlineStr">
        <is>
          <t>Sous-total — HONORAIRES</t>
        </is>
      </c>
      <c r="C20" s="8">
        <f>SUM(C19:C19)</f>
        <v/>
      </c>
      <c r="D20" s="8">
        <f>SUM(D19:D19)</f>
        <v/>
      </c>
      <c r="E20" s="34" t="n"/>
      <c r="F20" s="8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0" t="inlineStr">
        <is>
          <t>Entretien Courant</t>
        </is>
      </c>
      <c r="B22" s="31">
        <f>Paramètres!$C$11/38590.0</f>
        <v/>
      </c>
      <c r="C22" s="32">
        <f>'Récap MEAUX II 2025'!E24</f>
        <v/>
      </c>
      <c r="D22" s="32">
        <f>B22*C22</f>
        <v/>
      </c>
      <c r="E22" s="33">
        <f>Paramètres!$J$11/365</f>
        <v/>
      </c>
      <c r="F22" s="32">
        <f>D22*E22</f>
        <v/>
      </c>
    </row>
    <row r="23" ht="18" customHeight="1">
      <c r="A23" s="7" t="inlineStr">
        <is>
          <t>Sous-total — TRAVAUX</t>
        </is>
      </c>
      <c r="C23" s="8">
        <f>SUM(C22:C22)</f>
        <v/>
      </c>
      <c r="D23" s="8">
        <f>SUM(D22:D22)</f>
        <v/>
      </c>
      <c r="E23" s="34" t="n"/>
      <c r="F23" s="8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0" t="inlineStr">
        <is>
          <t>Ascenseur</t>
        </is>
      </c>
      <c r="B25" s="31">
        <f>Paramètres!$C$11/38590.0</f>
        <v/>
      </c>
      <c r="C25" s="32">
        <f>'Récap MEAUX II 2025'!E28</f>
        <v/>
      </c>
      <c r="D25" s="32">
        <f>B25*C25</f>
        <v/>
      </c>
      <c r="E25" s="33">
        <f>Paramètres!$J$11/365</f>
        <v/>
      </c>
      <c r="F25" s="32">
        <f>D25*E25</f>
        <v/>
      </c>
    </row>
    <row r="26" ht="15.05" customHeight="1">
      <c r="A26" s="30" t="inlineStr">
        <is>
          <t>Chaufferie</t>
        </is>
      </c>
      <c r="B26" s="31">
        <f>Paramètres!$C$11/38590.0</f>
        <v/>
      </c>
      <c r="C26" s="32">
        <f>'Récap MEAUX II 2025'!E31</f>
        <v/>
      </c>
      <c r="D26" s="32">
        <f>B26*C26</f>
        <v/>
      </c>
      <c r="E26" s="33">
        <f>Paramètres!$J$11/365</f>
        <v/>
      </c>
      <c r="F26" s="32">
        <f>D26*E26</f>
        <v/>
      </c>
    </row>
    <row r="27" ht="15.05" customHeight="1">
      <c r="A27" s="30" t="inlineStr">
        <is>
          <t>Désenfumage</t>
        </is>
      </c>
      <c r="B27" s="31">
        <f>Paramètres!$C$11/38590.0</f>
        <v/>
      </c>
      <c r="C27" s="32">
        <f>'Récap MEAUX II 2025'!E34</f>
        <v/>
      </c>
      <c r="D27" s="32">
        <f>B27*C27</f>
        <v/>
      </c>
      <c r="E27" s="33">
        <f>Paramètres!$J$11/365</f>
        <v/>
      </c>
      <c r="F27" s="32">
        <f>D27*E27</f>
        <v/>
      </c>
    </row>
    <row r="28" ht="15.05" customHeight="1">
      <c r="A28" s="30" t="inlineStr">
        <is>
          <t>Espaces verts</t>
        </is>
      </c>
      <c r="B28" s="31">
        <f>Paramètres!$C$11/38590.0</f>
        <v/>
      </c>
      <c r="C28" s="32">
        <f>'Récap MEAUX II 2025'!E37</f>
        <v/>
      </c>
      <c r="D28" s="32">
        <f>B28*C28</f>
        <v/>
      </c>
      <c r="E28" s="33">
        <f>Paramètres!$J$11/365</f>
        <v/>
      </c>
      <c r="F28" s="32">
        <f>D28*E28</f>
        <v/>
      </c>
    </row>
    <row r="29" ht="15.05" customHeight="1">
      <c r="A29" s="30" t="inlineStr">
        <is>
          <t>Portails + Barrières automatiques</t>
        </is>
      </c>
      <c r="B29" s="31">
        <f>Paramètres!$C$11/38590.0</f>
        <v/>
      </c>
      <c r="C29" s="32">
        <f>'Récap MEAUX II 2025'!E40</f>
        <v/>
      </c>
      <c r="D29" s="32">
        <f>B29*C29</f>
        <v/>
      </c>
      <c r="E29" s="33">
        <f>Paramètres!$J$11/365</f>
        <v/>
      </c>
      <c r="F29" s="32">
        <f>D29*E29</f>
        <v/>
      </c>
    </row>
    <row r="30" ht="15.05" customHeight="1">
      <c r="A30" s="30" t="inlineStr">
        <is>
          <t>Portes Coupe-Feu</t>
        </is>
      </c>
      <c r="B30" s="31">
        <f>Paramètres!$C$11/38590.0</f>
        <v/>
      </c>
      <c r="C30" s="32">
        <f>'Récap MEAUX II 2025'!E43</f>
        <v/>
      </c>
      <c r="D30" s="32">
        <f>B30*C30</f>
        <v/>
      </c>
      <c r="E30" s="33">
        <f>Paramètres!$J$11/365</f>
        <v/>
      </c>
      <c r="F30" s="32">
        <f>D30*E30</f>
        <v/>
      </c>
    </row>
    <row r="31" ht="15.05" customHeight="1">
      <c r="A31" s="30" t="inlineStr">
        <is>
          <t>Protection foudre</t>
        </is>
      </c>
      <c r="B31" s="31">
        <f>Paramètres!$C$11/38590.0</f>
        <v/>
      </c>
      <c r="C31" s="32">
        <f>'Récap MEAUX II 2025'!E46</f>
        <v/>
      </c>
      <c r="D31" s="32">
        <f>B31*C31</f>
        <v/>
      </c>
      <c r="E31" s="33">
        <f>Paramètres!$J$11/365</f>
        <v/>
      </c>
      <c r="F31" s="32">
        <f>D31*E31</f>
        <v/>
      </c>
    </row>
    <row r="32" ht="15.05" customHeight="1">
      <c r="A32" s="30" t="inlineStr">
        <is>
          <t>Quais &amp; Portes sectionnelles</t>
        </is>
      </c>
      <c r="B32" s="31">
        <f>Paramètres!$C$11/38590.0</f>
        <v/>
      </c>
      <c r="C32" s="32">
        <f>'Récap MEAUX II 2025'!E49</f>
        <v/>
      </c>
      <c r="D32" s="32">
        <f>B32*C32</f>
        <v/>
      </c>
      <c r="E32" s="33">
        <f>Paramètres!$J$11/365</f>
        <v/>
      </c>
      <c r="F32" s="32">
        <f>D32*E32</f>
        <v/>
      </c>
    </row>
    <row r="33" ht="15.05" customHeight="1">
      <c r="A33" s="30" t="inlineStr">
        <is>
          <t>Séparateur hydro.</t>
        </is>
      </c>
      <c r="B33" s="31">
        <f>Paramètres!$C$11/38590.0</f>
        <v/>
      </c>
      <c r="C33" s="32">
        <f>'Récap MEAUX II 2025'!E52</f>
        <v/>
      </c>
      <c r="D33" s="32">
        <f>B33*C33</f>
        <v/>
      </c>
      <c r="E33" s="33">
        <f>Paramètres!$J$11/365</f>
        <v/>
      </c>
      <c r="F33" s="32">
        <f>D33*E33</f>
        <v/>
      </c>
    </row>
    <row r="34" ht="15.05" customHeight="1">
      <c r="A34" s="30" t="inlineStr">
        <is>
          <t>Sprinklers - RIA - PI - Fioul</t>
        </is>
      </c>
      <c r="B34" s="31">
        <f>Paramètres!$C$11/38590.0</f>
        <v/>
      </c>
      <c r="C34" s="32">
        <f>'Récap MEAUX II 2025'!E55</f>
        <v/>
      </c>
      <c r="D34" s="32">
        <f>B34*C34</f>
        <v/>
      </c>
      <c r="E34" s="33">
        <f>Paramètres!$J$11/365</f>
        <v/>
      </c>
      <c r="F34" s="32">
        <f>D34*E34</f>
        <v/>
      </c>
    </row>
    <row r="35" ht="15.05" customHeight="1">
      <c r="A35" s="30" t="inlineStr">
        <is>
          <t>SSI</t>
        </is>
      </c>
      <c r="B35" s="31">
        <f>Paramètres!$C$11/38590.0</f>
        <v/>
      </c>
      <c r="C35" s="32">
        <f>'Récap MEAUX II 2025'!E58</f>
        <v/>
      </c>
      <c r="D35" s="32">
        <f>B35*C35</f>
        <v/>
      </c>
      <c r="E35" s="33">
        <f>Paramètres!$J$11/365</f>
        <v/>
      </c>
      <c r="F35" s="32">
        <f>D35*E35</f>
        <v/>
      </c>
    </row>
    <row r="36" ht="15.05" customHeight="1">
      <c r="A36" s="30" t="inlineStr">
        <is>
          <t>Télésurveillance</t>
        </is>
      </c>
      <c r="B36" s="31">
        <f>Paramètres!$C$11/38590.0</f>
        <v/>
      </c>
      <c r="C36" s="32">
        <f>'Récap MEAUX II 2025'!E61</f>
        <v/>
      </c>
      <c r="D36" s="32">
        <f>B36*C36</f>
        <v/>
      </c>
      <c r="E36" s="33">
        <f>Paramètres!$J$11/365</f>
        <v/>
      </c>
      <c r="F36" s="32">
        <f>D36*E36</f>
        <v/>
      </c>
    </row>
    <row r="37" ht="15.05" customHeight="1">
      <c r="A37" s="30" t="inlineStr">
        <is>
          <t>Toiture</t>
        </is>
      </c>
      <c r="B37" s="31">
        <f>Paramètres!$C$11/38590.0</f>
        <v/>
      </c>
      <c r="C37" s="32">
        <f>'Récap MEAUX II 2025'!E64</f>
        <v/>
      </c>
      <c r="D37" s="32">
        <f>B37*C37</f>
        <v/>
      </c>
      <c r="E37" s="33">
        <f>Paramètres!$J$11/365</f>
        <v/>
      </c>
      <c r="F37" s="32">
        <f>D37*E37</f>
        <v/>
      </c>
    </row>
    <row r="38" ht="15.05" customHeight="1">
      <c r="A38" s="30" t="inlineStr">
        <is>
          <t>Vérifications règlementaires</t>
        </is>
      </c>
      <c r="B38" s="31">
        <f>Paramètres!$C$11/38590.0</f>
        <v/>
      </c>
      <c r="C38" s="32">
        <f>'Récap MEAUX II 2025'!E67</f>
        <v/>
      </c>
      <c r="D38" s="32">
        <f>B38*C38</f>
        <v/>
      </c>
      <c r="E38" s="33">
        <f>Paramètres!$J$11/365</f>
        <v/>
      </c>
      <c r="F38" s="32">
        <f>D38*E38</f>
        <v/>
      </c>
    </row>
    <row r="39" ht="18" customHeight="1">
      <c r="A39" s="7" t="inlineStr">
        <is>
          <t>Sous-total — CONTRAT MAINTENANCE</t>
        </is>
      </c>
      <c r="C39" s="8">
        <f>SUM(C25:C38)</f>
        <v/>
      </c>
      <c r="D39" s="8">
        <f>SUM(D25:D38)</f>
        <v/>
      </c>
      <c r="E39" s="34" t="n"/>
      <c r="F39" s="8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0" t="inlineStr">
        <is>
          <t>Taxe Bureau &amp; Stationnement</t>
        </is>
      </c>
      <c r="B41" s="31">
        <f>Paramètres!$C$11/38590.0</f>
        <v/>
      </c>
      <c r="C41" s="32">
        <f>'Récap MEAUX II 2025'!E71</f>
        <v/>
      </c>
      <c r="D41" s="32">
        <f>B41*C41</f>
        <v/>
      </c>
      <c r="E41" s="33">
        <f>Paramètres!$J$11/365</f>
        <v/>
      </c>
      <c r="F41" s="32">
        <f>D41*E41</f>
        <v/>
      </c>
    </row>
    <row r="42" ht="18" customHeight="1">
      <c r="A42" s="7" t="inlineStr">
        <is>
          <t>Sous-total — TAXES</t>
        </is>
      </c>
      <c r="C42" s="8">
        <f>SUM(C41:C41)</f>
        <v/>
      </c>
      <c r="D42" s="8">
        <f>SUM(D41:D41)</f>
        <v/>
      </c>
      <c r="E42" s="34" t="n"/>
      <c r="F42" s="8">
        <f>SUM(F41:F41)</f>
        <v/>
      </c>
    </row>
    <row r="43" ht="6" customHeight="1"/>
    <row r="44" ht="7.55" customHeight="1"/>
    <row r="45" ht="21.75" customHeight="1">
      <c r="A45" s="10" t="inlineStr">
        <is>
          <t>TOTAL CHARGES RÉCUPÉRABLES RÉELLES (€ HT)</t>
        </is>
      </c>
      <c r="C45" s="11">
        <f>C9+C17+C20+C23+C39+C42</f>
        <v/>
      </c>
      <c r="D45" s="11">
        <f>D9+D17+D20+D23+D39+D42</f>
        <v/>
      </c>
      <c r="E45" s="37" t="n"/>
      <c r="F45" s="11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8" t="n"/>
      <c r="D47" s="26" t="inlineStr">
        <is>
          <t>Montant annuel (€)</t>
        </is>
      </c>
      <c r="E47" s="38" t="n"/>
      <c r="F47" s="26" t="inlineStr">
        <is>
          <t>Montant locataire (€)</t>
        </is>
      </c>
    </row>
    <row r="48" ht="15.8" customHeight="1">
      <c r="A48" s="19" t="inlineStr">
        <is>
          <t xml:space="preserve">  1er trimestre (T1)</t>
        </is>
      </c>
    </row>
    <row r="49" ht="15.8" customHeight="1">
      <c r="A49" s="19" t="inlineStr">
        <is>
          <t xml:space="preserve">  2e trimestre (T2)</t>
        </is>
      </c>
    </row>
    <row r="50" ht="15.8" customHeight="1">
      <c r="A50" s="19" t="inlineStr">
        <is>
          <t xml:space="preserve">  3e trimestre (T3)</t>
        </is>
      </c>
    </row>
    <row r="51" ht="15.8" customHeight="1">
      <c r="A51" s="19" t="inlineStr">
        <is>
          <t xml:space="preserve">  4e trimestre (T4)</t>
        </is>
      </c>
    </row>
    <row r="52" ht="18" customHeight="1">
      <c r="A52" s="7" t="inlineStr">
        <is>
          <t>Total provisions pour charges versées →</t>
        </is>
      </c>
      <c r="D52" s="8">
        <f>SUM(D48:D51)</f>
        <v/>
      </c>
      <c r="E52" s="34" t="n"/>
      <c r="F52" s="8">
        <f>SUM(F48:F51)</f>
        <v/>
      </c>
    </row>
    <row r="53" ht="7.55" customHeight="1"/>
    <row r="54" ht="21.75" customHeight="1">
      <c r="A54" s="39">
        <f>IF(F45-F52&gt;0,"SOLDE DÉBITEUR","SOLDE CRÉDITEUR")</f>
        <v/>
      </c>
      <c r="D54" s="40">
        <f>D45-D52</f>
        <v/>
      </c>
      <c r="E54" s="38" t="n"/>
      <c r="F54" s="40">
        <f>F45-F52</f>
        <v/>
      </c>
    </row>
    <row r="56" ht="27.75" customHeight="1">
      <c r="A56" s="41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29" t="inlineStr">
        <is>
          <t>MEAUX PN01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42">
        <f>Paramètres!A7</f>
        <v/>
      </c>
      <c r="B5" s="18">
        <f>Paramètres!B7</f>
        <v/>
      </c>
      <c r="C5" s="43">
        <f>Paramètres!C7</f>
        <v/>
      </c>
      <c r="D5" s="32">
        <f>'BAT 1 - MEAUX I'!D27</f>
        <v/>
      </c>
      <c r="E5" s="33">
        <f>Paramètres!H7/365</f>
        <v/>
      </c>
      <c r="F5" s="28">
        <f>IF(Paramètres!B7="Vacant",'BAT 1 - MEAUX I'!D27,'BAT 1 - MEAUX I'!D27-'BAT 1 - MEAUX I'!F27)</f>
        <v/>
      </c>
    </row>
    <row r="6" ht="18" customHeight="1">
      <c r="A6" s="42">
        <f>Paramètres!A8</f>
        <v/>
      </c>
      <c r="B6" s="18">
        <f>Paramètres!B8</f>
        <v/>
      </c>
      <c r="C6" s="43">
        <f>Paramètres!C8</f>
        <v/>
      </c>
      <c r="D6" s="32">
        <f>'C1'!D45</f>
        <v/>
      </c>
      <c r="E6" s="33">
        <f>Paramètres!H8/365</f>
        <v/>
      </c>
      <c r="F6" s="28">
        <f>IF(Paramètres!B8="Vacant",'C1'!D45,'C1'!D45-'C1'!F45)</f>
        <v/>
      </c>
    </row>
    <row r="7" ht="18" customHeight="1">
      <c r="A7" s="42">
        <f>Paramètres!A9</f>
        <v/>
      </c>
      <c r="B7" s="18">
        <f>Paramètres!B9</f>
        <v/>
      </c>
      <c r="C7" s="43">
        <f>Paramètres!C9</f>
        <v/>
      </c>
      <c r="D7" s="32">
        <f>'C2'!D45</f>
        <v/>
      </c>
      <c r="E7" s="33">
        <f>Paramètres!H9/365</f>
        <v/>
      </c>
      <c r="F7" s="28">
        <f>IF(Paramètres!B9="Vacant",'C2'!D45,'C2'!D45-'C2'!F45)</f>
        <v/>
      </c>
    </row>
    <row r="8" ht="18" customHeight="1">
      <c r="A8" s="42">
        <f>Paramètres!A10</f>
        <v/>
      </c>
      <c r="B8" s="18">
        <f>Paramètres!B10</f>
        <v/>
      </c>
      <c r="C8" s="43">
        <f>Paramètres!C10</f>
        <v/>
      </c>
      <c r="D8" s="32">
        <f>'C3'!D45</f>
        <v/>
      </c>
      <c r="E8" s="33">
        <f>Paramètres!H10/365</f>
        <v/>
      </c>
      <c r="F8" s="28">
        <f>IF(Paramètres!B10="Vacant",'C3'!D45,'C3'!D45-'C3'!F45)</f>
        <v/>
      </c>
    </row>
    <row r="9" ht="18" customHeight="1">
      <c r="A9" s="42">
        <f>Paramètres!A11</f>
        <v/>
      </c>
      <c r="B9" s="18">
        <f>Paramètres!B11</f>
        <v/>
      </c>
      <c r="C9" s="43">
        <f>Paramètres!C11</f>
        <v/>
      </c>
      <c r="D9" s="32">
        <f>'C4'!D45</f>
        <v/>
      </c>
      <c r="E9" s="33">
        <f>Paramètres!H11/365</f>
        <v/>
      </c>
      <c r="F9" s="28">
        <f>IF(Paramètres!B11="Vacant",'C4'!D45,'C4'!D45-'C4'!F45)</f>
        <v/>
      </c>
    </row>
    <row r="10" ht="6" customHeight="1"/>
    <row r="11" ht="18" customHeight="1">
      <c r="A11" s="7" t="inlineStr">
        <is>
          <t>Total QP charges (tous lots)</t>
        </is>
      </c>
      <c r="D11" s="8">
        <f>SUM(D5:D9)</f>
        <v/>
      </c>
      <c r="E11" s="34" t="n"/>
      <c r="F11" s="34" t="n"/>
    </row>
    <row r="12" ht="18" customHeight="1">
      <c r="A12" s="7" t="inlineStr">
        <is>
          <t>Nombre de lots vacants</t>
        </is>
      </c>
      <c r="D12" s="44">
        <f>COUNTIF(B5:B9,"Vacant")</f>
        <v/>
      </c>
      <c r="E12" s="34" t="n"/>
      <c r="F12" s="34" t="n"/>
    </row>
    <row r="13" ht="6" customHeight="1"/>
    <row r="14" ht="19.55" customHeight="1">
      <c r="A14" s="45" t="inlineStr">
        <is>
          <t>Charges non récupérables (Frais Bancaires + CAPEX)</t>
        </is>
      </c>
      <c r="F14" s="46">
        <f>'Récap Site 2025'!E14</f>
        <v/>
      </c>
    </row>
    <row r="15" ht="6" customHeight="1"/>
    <row r="16" ht="25.55" customHeight="1">
      <c r="A16" s="47" t="inlineStr">
        <is>
          <t>TOTAL COÛT DE LA VACANCE LOCATIVE (€ HT)</t>
        </is>
      </c>
      <c r="F16" s="48">
        <f>F5+F6+F7+F8+F9+F14</f>
        <v/>
      </c>
    </row>
    <row r="17" ht="6" customHeight="1"/>
    <row r="18" ht="19.55" customHeight="1">
      <c r="A18" s="7" t="inlineStr">
        <is>
          <t>Part vacance sur total charges site</t>
        </is>
      </c>
      <c r="F18" s="49">
        <f>IF(D11&gt;0,F16/D11,0)</f>
        <v/>
      </c>
    </row>
    <row r="19" ht="6" customHeight="1"/>
    <row r="20" ht="27.75" customHeight="1">
      <c r="A20" s="41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1:C11"/>
    <mergeCell ref="A16:E16"/>
    <mergeCell ref="A1:F1"/>
    <mergeCell ref="A14:E14"/>
    <mergeCell ref="A12:C12"/>
    <mergeCell ref="A20:F20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2026-05-07T15:24:06Z</dcterms:created>
  <dcterms:modified xsi:type="dcterms:W3CDTF">2026-05-07T15:24:06Z</dcterms:modified>
</cp:coreProperties>
</file>