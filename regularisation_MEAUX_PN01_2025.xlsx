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 Site 2025" sheetId="1" state="visible" r:id="rId1"/>
    <sheet name="Récap MEAUX I 2025" sheetId="2" state="visible" r:id="rId2"/>
    <sheet name="Récap MEAUX II 2025" sheetId="3" state="visible" r:id="rId3"/>
    <sheet name="Paramètres" sheetId="4" state="visible" r:id="rId4"/>
    <sheet name="BAT 1 - MEAUX I" sheetId="5" state="visible" r:id="rId5"/>
    <sheet name="C1" sheetId="6" state="visible" r:id="rId6"/>
    <sheet name="C2" sheetId="7" state="visible" r:id="rId7"/>
    <sheet name="C3" sheetId="8" state="visible" r:id="rId8"/>
    <sheet name="C4" sheetId="9" state="visible" r:id="rId9"/>
    <sheet name="Vacance Locativ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/YYYY"/>
    <numFmt numFmtId="166" formatCode="#,##0.00&quot; €&quot;"/>
    <numFmt numFmtId="167" formatCode="yyyy-mm-dd"/>
    <numFmt numFmtId="168" formatCode="0.0000"/>
    <numFmt numFmtId="169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1B3A6B"/>
      <sz val="9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B3A6B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444444"/>
      <sz val="9"/>
    </font>
    <font>
      <name val="Calibri"/>
      <b val="1"/>
      <color rgb="00FFFFFF"/>
      <sz val="12"/>
    </font>
    <font>
      <name val="Calibri"/>
      <color rgb="00222222"/>
      <sz val="9"/>
    </font>
    <font>
      <name val="Calibri"/>
      <color rgb="00666666"/>
      <sz val="8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D0DDEF"/>
      </patternFill>
    </fill>
    <fill>
      <patternFill patternType="solid">
        <fgColor rgb="FF2E5FA3"/>
      </patternFill>
    </fill>
    <fill>
      <patternFill patternType="solid">
        <fgColor rgb="FFF2F4F8"/>
      </patternFill>
    </fill>
    <fill>
      <patternFill patternType="solid">
        <fgColor rgb="FFD5F5E3"/>
      </patternFill>
    </fill>
    <fill>
      <patternFill patternType="solid">
        <fgColor rgb="FFFDECEA"/>
      </patternFill>
    </fill>
    <fill>
      <patternFill patternType="solid">
        <fgColor rgb="FFE64A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165" fontId="5" fillId="5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166" fontId="6" fillId="3" borderId="0" applyAlignment="1" pivotButton="0" quotePrefix="0" xfId="0">
      <alignment horizontal="right" vertical="center"/>
    </xf>
    <xf numFmtId="0" fontId="0" fillId="5" borderId="0" pivotButton="0" quotePrefix="0" xfId="0"/>
    <xf numFmtId="166" fontId="4" fillId="4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166" fontId="7" fillId="2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" fontId="8" fillId="0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10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center" vertical="center"/>
    </xf>
    <xf numFmtId="0" fontId="0" fillId="3" borderId="0" pivotButton="0" quotePrefix="0" xfId="0"/>
    <xf numFmtId="166" fontId="0" fillId="0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4" borderId="0" pivotButton="0" quotePrefix="0" xfId="0"/>
    <xf numFmtId="0" fontId="7" fillId="4" borderId="0" applyAlignment="1" pivotButton="0" quotePrefix="0" xfId="0">
      <alignment horizontal="left" vertical="center"/>
    </xf>
    <xf numFmtId="166" fontId="7" fillId="4" borderId="0" applyAlignment="1" pivotButton="0" quotePrefix="0" xfId="0">
      <alignment horizontal="right" vertical="center"/>
    </xf>
    <xf numFmtId="0" fontId="12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1" fontId="6" fillId="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166" fontId="4" fillId="8" borderId="0" applyAlignment="1" pivotButton="0" quotePrefix="0" xfId="0">
      <alignment horizontal="right" vertical="center"/>
    </xf>
    <xf numFmtId="0" fontId="13" fillId="2" borderId="0" applyAlignment="1" pivotButton="0" quotePrefix="0" xfId="0">
      <alignment horizontal="left" vertical="center"/>
    </xf>
    <xf numFmtId="166" fontId="13" fillId="2" borderId="0" applyAlignment="1" pivotButton="0" quotePrefix="0" xfId="0">
      <alignment horizontal="right" vertical="center"/>
    </xf>
    <xf numFmtId="169" fontId="6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2" customWidth="1" min="3" max="3"/>
    <col width="45" customWidth="1" min="4" max="4"/>
    <col width="14" customWidth="1" min="5" max="5"/>
    <col width="12" customWidth="1" min="6" max="6"/>
    <col width="14" customWidth="1" min="7" max="7"/>
  </cols>
  <sheetData>
    <row r="1" ht="27.75" customHeight="1">
      <c r="A1" s="1" t="inlineStr">
        <is>
          <t>MEAUX PN01 — CHARGES SITE 2025</t>
        </is>
      </c>
    </row>
    <row r="2" ht="15.8" customHeight="1">
      <c r="A2" s="2" t="inlineStr">
        <is>
          <t>Site : MEAUX PN01  |  Période : 01/01/2025 – 31/12/2025</t>
        </is>
      </c>
    </row>
    <row r="3" ht="19.55" customHeight="1">
      <c r="A3" s="3" t="inlineStr">
        <is>
          <t>Fournisseur</t>
        </is>
      </c>
      <c r="B3" s="3" t="inlineStr">
        <is>
          <t>Date facture</t>
        </is>
      </c>
      <c r="C3" s="3" t="inlineStr">
        <is>
          <t>N° facture</t>
        </is>
      </c>
      <c r="D3" s="3" t="inlineStr">
        <is>
          <t>Description</t>
        </is>
      </c>
      <c r="E3" s="3" t="inlineStr">
        <is>
          <t>Montant HT (€)</t>
        </is>
      </c>
      <c r="F3" s="3" t="inlineStr">
        <is>
          <t>TVA (€)</t>
        </is>
      </c>
      <c r="G3" s="3" t="inlineStr">
        <is>
          <t>Montant TTC (€)</t>
        </is>
      </c>
    </row>
    <row r="4" ht="21.75" customHeight="1">
      <c r="A4" s="4" t="inlineStr">
        <is>
          <t>── CONTRAT MAINTENANCE ──</t>
        </is>
      </c>
    </row>
    <row r="5" ht="18" customHeight="1">
      <c r="A5" s="5" t="inlineStr">
        <is>
          <t xml:space="preserve">  Portails + Barrières automatiques</t>
        </is>
      </c>
    </row>
    <row r="6" ht="15.05" customHeight="1">
      <c r="A6" s="6" t="inlineStr">
        <is>
          <t>DIRICKX</t>
        </is>
      </c>
      <c r="B6" s="7" t="n">
        <v>45658</v>
      </c>
      <c r="C6" s="6" t="inlineStr">
        <is>
          <t>90694468</t>
        </is>
      </c>
      <c r="D6" s="6" t="inlineStr">
        <is>
          <t>Site - Entretien portail 2025</t>
        </is>
      </c>
      <c r="E6" s="8" t="n">
        <v>550.66</v>
      </c>
      <c r="F6" s="8" t="n">
        <v>110.13</v>
      </c>
      <c r="G6" s="8" t="n">
        <v>660.79</v>
      </c>
    </row>
    <row r="7" ht="15.8" customHeight="1">
      <c r="A7" s="9" t="inlineStr">
        <is>
          <t xml:space="preserve">    Sous-total — Portails + Barrières automatiques</t>
        </is>
      </c>
      <c r="E7" s="10">
        <f>SUM(E6:E6)</f>
        <v/>
      </c>
      <c r="F7" s="10">
        <f>SUM(F6:F6)</f>
        <v/>
      </c>
      <c r="G7" s="10">
        <f>SUM(G6:G6)</f>
        <v/>
      </c>
    </row>
    <row r="8" ht="18" customHeight="1">
      <c r="A8" s="5" t="inlineStr">
        <is>
          <t xml:space="preserve">  Vérifications règlementaires</t>
        </is>
      </c>
    </row>
    <row r="9" ht="15.05" customHeight="1">
      <c r="A9" s="6" t="inlineStr">
        <is>
          <t>BUREAU VERITAS</t>
        </is>
      </c>
      <c r="B9" s="7" t="n">
        <v>46042</v>
      </c>
      <c r="C9" s="6" t="inlineStr">
        <is>
          <t>26029889</t>
        </is>
      </c>
      <c r="D9" s="6" t="inlineStr">
        <is>
          <t>Site - Rejet aqueux</t>
        </is>
      </c>
      <c r="E9" s="8" t="n">
        <v>835</v>
      </c>
      <c r="F9" s="8" t="n">
        <v>167</v>
      </c>
      <c r="G9" s="8" t="n">
        <v>1002</v>
      </c>
    </row>
    <row r="10" ht="15.05" customHeight="1">
      <c r="A10" s="6" t="inlineStr">
        <is>
          <t>BUREAU VERITAS</t>
        </is>
      </c>
      <c r="B10" s="7" t="n">
        <v>46042</v>
      </c>
      <c r="C10" s="6" t="inlineStr">
        <is>
          <t>26029887</t>
        </is>
      </c>
      <c r="D10" s="6" t="inlineStr">
        <is>
          <t>Site - Rejet atmosphériques</t>
        </is>
      </c>
      <c r="E10" s="8" t="n">
        <v>1800</v>
      </c>
      <c r="F10" s="8" t="n">
        <v>360</v>
      </c>
      <c r="G10" s="8" t="n">
        <v>2160</v>
      </c>
    </row>
    <row r="11" ht="15.05" customHeight="1">
      <c r="A11" s="6" t="inlineStr">
        <is>
          <t>BUREAU VERITAS</t>
        </is>
      </c>
      <c r="B11" s="7" t="n">
        <v>45945</v>
      </c>
      <c r="C11" s="6" t="inlineStr">
        <is>
          <t>25616307</t>
        </is>
      </c>
      <c r="D11" s="6" t="inlineStr">
        <is>
          <t>Site - Mesure bruits</t>
        </is>
      </c>
      <c r="E11" s="8" t="n">
        <v>1760</v>
      </c>
      <c r="F11" s="8" t="n">
        <v>352</v>
      </c>
      <c r="G11" s="8" t="n">
        <v>2112</v>
      </c>
    </row>
    <row r="12" ht="15.8" customHeight="1">
      <c r="A12" s="9" t="inlineStr">
        <is>
          <t xml:space="preserve">    Sous-total — Vérifications règlementaires</t>
        </is>
      </c>
      <c r="E12" s="10">
        <f>SUM(E9:E11)</f>
        <v/>
      </c>
      <c r="F12" s="10">
        <f>SUM(F9:F11)</f>
        <v/>
      </c>
      <c r="G12" s="10">
        <f>SUM(G9:G11)</f>
        <v/>
      </c>
    </row>
    <row r="13" ht="21.75" customHeight="1">
      <c r="A13" s="4" t="inlineStr">
        <is>
          <t>── CHARGES NON RECUPERABLES ──</t>
        </is>
      </c>
    </row>
    <row r="14" ht="18" customHeight="1">
      <c r="A14" s="5" t="inlineStr">
        <is>
          <t xml:space="preserve">  Frais Bancaires</t>
        </is>
      </c>
    </row>
    <row r="15" ht="15.05" customHeight="1">
      <c r="A15" s="6" t="inlineStr">
        <is>
          <t>CIC</t>
        </is>
      </c>
      <c r="B15" s="7" t="n">
        <v>45667</v>
      </c>
      <c r="C15" s="6" t="inlineStr">
        <is>
          <t>Frais 01/25</t>
        </is>
      </c>
      <c r="D15" s="6" t="inlineStr">
        <is>
          <t>Site - Commission du 10/01/25</t>
        </is>
      </c>
      <c r="E15" s="8" t="n">
        <v>2.86</v>
      </c>
      <c r="F15" s="11" t="n"/>
      <c r="G15" s="8" t="n">
        <v>2.86</v>
      </c>
    </row>
    <row r="16" ht="15.05" customHeight="1">
      <c r="A16" s="6" t="inlineStr">
        <is>
          <t>CIC</t>
        </is>
      </c>
      <c r="B16" s="7" t="n">
        <v>45726</v>
      </c>
      <c r="C16" s="6" t="inlineStr">
        <is>
          <t>Frais 03/25</t>
        </is>
      </c>
      <c r="D16" s="6" t="inlineStr">
        <is>
          <t>Site - Commission du 10/03/25</t>
        </is>
      </c>
      <c r="E16" s="8" t="n">
        <v>7.19</v>
      </c>
      <c r="F16" s="11" t="n"/>
      <c r="G16" s="8" t="n">
        <v>7.19</v>
      </c>
    </row>
    <row r="17" ht="15.05" customHeight="1">
      <c r="A17" s="6" t="inlineStr">
        <is>
          <t>CIC</t>
        </is>
      </c>
      <c r="B17" s="7" t="n">
        <v>45789</v>
      </c>
      <c r="C17" s="6" t="inlineStr">
        <is>
          <t>Frais 05/25</t>
        </is>
      </c>
      <c r="D17" s="6" t="inlineStr">
        <is>
          <t>Site - Commission du 12/05/25</t>
        </is>
      </c>
      <c r="E17" s="8" t="n">
        <v>3.91</v>
      </c>
      <c r="F17" s="11" t="n"/>
      <c r="G17" s="8" t="n">
        <v>3.91</v>
      </c>
    </row>
    <row r="18" ht="15.05" customHeight="1">
      <c r="A18" s="6" t="inlineStr">
        <is>
          <t>CIC</t>
        </is>
      </c>
      <c r="B18" s="7" t="n">
        <v>45818</v>
      </c>
      <c r="C18" s="6" t="inlineStr">
        <is>
          <t>Frais 06/25</t>
        </is>
      </c>
      <c r="D18" s="6" t="inlineStr">
        <is>
          <t>Site - Commission du 10/06/25</t>
        </is>
      </c>
      <c r="E18" s="8" t="n">
        <v>3.91</v>
      </c>
      <c r="F18" s="11" t="n"/>
      <c r="G18" s="8" t="n">
        <v>3.91</v>
      </c>
    </row>
    <row r="19" ht="15.05" customHeight="1">
      <c r="A19" s="6" t="inlineStr">
        <is>
          <t>CIC</t>
        </is>
      </c>
      <c r="B19" s="7" t="n">
        <v>45880</v>
      </c>
      <c r="C19" s="6" t="inlineStr">
        <is>
          <t>Frais 08/25</t>
        </is>
      </c>
      <c r="D19" s="6" t="inlineStr">
        <is>
          <t>Site - Commission du 11/08/25</t>
        </is>
      </c>
      <c r="E19" s="8" t="n">
        <v>3.7</v>
      </c>
      <c r="F19" s="11" t="n"/>
      <c r="G19" s="8" t="n">
        <v>3.7</v>
      </c>
    </row>
    <row r="20" ht="15.05" customHeight="1">
      <c r="A20" s="6" t="inlineStr">
        <is>
          <t>CIC</t>
        </is>
      </c>
      <c r="B20" s="7" t="n">
        <v>45940</v>
      </c>
      <c r="C20" s="6" t="inlineStr">
        <is>
          <t>Frais 10/25</t>
        </is>
      </c>
      <c r="D20" s="6" t="inlineStr">
        <is>
          <t>Site - Commission du 10/10/25</t>
        </is>
      </c>
      <c r="E20" s="8" t="n">
        <v>4.12</v>
      </c>
      <c r="F20" s="11" t="n"/>
      <c r="G20" s="8" t="n">
        <v>4.12</v>
      </c>
    </row>
    <row r="21" ht="15.05" customHeight="1">
      <c r="A21" s="6" t="inlineStr">
        <is>
          <t>CIC</t>
        </is>
      </c>
      <c r="B21" s="7" t="n">
        <v>45971</v>
      </c>
      <c r="C21" s="6" t="inlineStr">
        <is>
          <t>Frais 11/25</t>
        </is>
      </c>
      <c r="D21" s="6" t="inlineStr">
        <is>
          <t>Site - Commission du 10/11/25</t>
        </is>
      </c>
      <c r="E21" s="8" t="n">
        <v>3.28</v>
      </c>
      <c r="F21" s="11" t="n"/>
      <c r="G21" s="8" t="n">
        <v>3.28</v>
      </c>
    </row>
    <row r="22" ht="15.8" customHeight="1">
      <c r="A22" s="9" t="inlineStr">
        <is>
          <t xml:space="preserve">    Sous-total — Frais Bancaires</t>
        </is>
      </c>
      <c r="E22" s="10">
        <f>SUM(E15:E21)</f>
        <v/>
      </c>
      <c r="F22" s="10">
        <f>SUM(F15:F21)</f>
        <v/>
      </c>
      <c r="G22" s="10">
        <f>SUM(G15:G21)</f>
        <v/>
      </c>
    </row>
    <row r="23" ht="6" customHeight="1"/>
    <row r="24" ht="19.55" customHeight="1">
      <c r="A24" s="5" t="inlineStr">
        <is>
          <t>TOTAL — CHARGES NON RÉCUPÉRABLES</t>
        </is>
      </c>
      <c r="E24" s="12">
        <f>E22</f>
        <v/>
      </c>
    </row>
    <row r="25" ht="6" customHeight="1"/>
    <row r="26" ht="25.55" customHeight="1">
      <c r="A26" s="13" t="inlineStr">
        <is>
          <t>TOTAL GÉNÉRAL — CHARGES RÉCUPÉRABLES</t>
        </is>
      </c>
      <c r="E26" s="14">
        <f>E7+E12</f>
        <v/>
      </c>
    </row>
  </sheetData>
  <mergeCells count="9">
    <mergeCell ref="A13:G13"/>
    <mergeCell ref="A1:G1"/>
    <mergeCell ref="A22:D22"/>
    <mergeCell ref="A12:D12"/>
    <mergeCell ref="A26:D26"/>
    <mergeCell ref="A4:G4"/>
    <mergeCell ref="A7:D7"/>
    <mergeCell ref="A2:G2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2" customWidth="1" min="3" max="3"/>
    <col width="45" customWidth="1" min="4" max="4"/>
    <col width="14" customWidth="1" min="5" max="5"/>
    <col width="12" customWidth="1" min="6" max="6"/>
    <col width="14" customWidth="1" min="7" max="7"/>
  </cols>
  <sheetData>
    <row r="1" ht="27.75" customHeight="1">
      <c r="A1" s="1" t="inlineStr">
        <is>
          <t>MEAUX PN01 — MEAUX I 2025</t>
        </is>
      </c>
    </row>
    <row r="2" ht="15.8" customHeight="1">
      <c r="A2" s="2" t="inlineStr">
        <is>
          <t>Site : MEAUX PN01  |  Période : 01/01/2025 – 31/12/2025</t>
        </is>
      </c>
    </row>
    <row r="3" ht="19.55" customHeight="1">
      <c r="A3" s="3" t="inlineStr">
        <is>
          <t>Fournisseur</t>
        </is>
      </c>
      <c r="B3" s="3" t="inlineStr">
        <is>
          <t>Date facture</t>
        </is>
      </c>
      <c r="C3" s="3" t="inlineStr">
        <is>
          <t>N° facture</t>
        </is>
      </c>
      <c r="D3" s="3" t="inlineStr">
        <is>
          <t>Description</t>
        </is>
      </c>
      <c r="E3" s="3" t="inlineStr">
        <is>
          <t>Montant HT (€)</t>
        </is>
      </c>
      <c r="F3" s="3" t="inlineStr">
        <is>
          <t>TVA (€)</t>
        </is>
      </c>
      <c r="G3" s="3" t="inlineStr">
        <is>
          <t>Montant TTC (€)</t>
        </is>
      </c>
    </row>
    <row r="4" ht="21.75" customHeight="1">
      <c r="A4" s="4" t="inlineStr">
        <is>
          <t>── FLUIDES ──</t>
        </is>
      </c>
    </row>
    <row r="5" ht="18" customHeight="1">
      <c r="A5" s="5" t="inlineStr">
        <is>
          <t xml:space="preserve">  Electricité</t>
        </is>
      </c>
    </row>
    <row r="6" ht="15.05" customHeight="1">
      <c r="A6" s="6" t="inlineStr">
        <is>
          <t>ENGIE</t>
        </is>
      </c>
      <c r="B6" s="7" t="n">
        <v>45860</v>
      </c>
      <c r="C6" s="6" t="inlineStr">
        <is>
          <t>690000297954</t>
        </is>
      </c>
      <c r="D6" s="6" t="inlineStr">
        <is>
          <t>Bât 1  - Electricité - Bornes recharge - 20/06 au 09/07/25</t>
        </is>
      </c>
      <c r="E6" s="8" t="n">
        <v>377.68</v>
      </c>
      <c r="F6" s="8" t="n">
        <v>75.54000000000001</v>
      </c>
      <c r="G6" s="8" t="n">
        <v>453.22</v>
      </c>
    </row>
    <row r="7" ht="15.05" customHeight="1">
      <c r="A7" s="6" t="inlineStr">
        <is>
          <t>ENGIE</t>
        </is>
      </c>
      <c r="B7" s="7" t="n">
        <v>45883</v>
      </c>
      <c r="C7" s="6" t="inlineStr">
        <is>
          <t>220008495571</t>
        </is>
      </c>
      <c r="D7" s="6" t="inlineStr">
        <is>
          <t>Bât 1  - Electricité - Bornes recharge - 10/07 au 09/08/25</t>
        </is>
      </c>
      <c r="E7" s="8" t="n">
        <v>301.17</v>
      </c>
      <c r="F7" s="8" t="n">
        <v>60.23</v>
      </c>
      <c r="G7" s="8" t="n">
        <v>361.4</v>
      </c>
    </row>
    <row r="8" ht="15.05" customHeight="1">
      <c r="A8" s="6" t="inlineStr">
        <is>
          <t>ENGIE</t>
        </is>
      </c>
      <c r="B8" s="7" t="n">
        <v>45905</v>
      </c>
      <c r="C8" s="6" t="inlineStr">
        <is>
          <t>730000321384</t>
        </is>
      </c>
      <c r="D8" s="6" t="inlineStr">
        <is>
          <t>Bât 1  - Electricité - Bornes recharge - 10/08 au 31/08/25</t>
        </is>
      </c>
      <c r="E8" s="8" t="n">
        <v>354.34</v>
      </c>
      <c r="F8" s="8" t="n">
        <v>70.87</v>
      </c>
      <c r="G8" s="8" t="n">
        <v>425.21</v>
      </c>
    </row>
    <row r="9" ht="15.05" customHeight="1">
      <c r="A9" s="6" t="inlineStr">
        <is>
          <t>ENGIE</t>
        </is>
      </c>
      <c r="B9" s="7" t="n">
        <v>45975</v>
      </c>
      <c r="C9" s="6" t="inlineStr">
        <is>
          <t>630000392015</t>
        </is>
      </c>
      <c r="D9" s="6" t="inlineStr">
        <is>
          <t>Bât 1  - Electricité - Bornes recharge - 17/10 au 09/11/25</t>
        </is>
      </c>
      <c r="E9" s="8" t="n">
        <v>351.37</v>
      </c>
      <c r="F9" s="8" t="n">
        <v>70.27</v>
      </c>
      <c r="G9" s="8" t="n">
        <v>421.64</v>
      </c>
    </row>
    <row r="10" ht="15.05" customHeight="1">
      <c r="A10" s="6" t="inlineStr">
        <is>
          <t>ENGIE</t>
        </is>
      </c>
      <c r="B10" s="7" t="n">
        <v>46003</v>
      </c>
      <c r="C10" s="6" t="inlineStr">
        <is>
          <t>620001511822</t>
        </is>
      </c>
      <c r="D10" s="6" t="inlineStr">
        <is>
          <t>Bât 1  - Electricité - Bornes recharge - 10/11 au 09/12/25</t>
        </is>
      </c>
      <c r="E10" s="8" t="n">
        <v>290.14</v>
      </c>
      <c r="F10" s="8" t="n">
        <v>58.03</v>
      </c>
      <c r="G10" s="8" t="n">
        <v>348.17</v>
      </c>
    </row>
    <row r="11" ht="15.05" customHeight="1">
      <c r="A11" s="6" t="inlineStr">
        <is>
          <t>ENGIE</t>
        </is>
      </c>
      <c r="B11" s="7" t="n">
        <v>46107</v>
      </c>
      <c r="C11" s="6" t="inlineStr">
        <is>
          <t>820001438853</t>
        </is>
      </c>
      <c r="D11" s="6" t="inlineStr">
        <is>
          <t>Bât 1  - Electricité - Bornes recharge - 10/12 au 09/01/26</t>
        </is>
      </c>
      <c r="E11" s="8" t="n">
        <v>299.81</v>
      </c>
      <c r="F11" s="8" t="n">
        <v>59.96</v>
      </c>
      <c r="G11" s="8" t="n">
        <v>359.77</v>
      </c>
    </row>
    <row r="12" ht="15.8" customHeight="1">
      <c r="A12" s="9" t="inlineStr">
        <is>
          <t xml:space="preserve">    Sous-total — Electricité</t>
        </is>
      </c>
      <c r="E12" s="10">
        <f>SUM(E6:E11)</f>
        <v/>
      </c>
      <c r="F12" s="10">
        <f>SUM(F6:F11)</f>
        <v/>
      </c>
      <c r="G12" s="10">
        <f>SUM(G6:G11)</f>
        <v/>
      </c>
    </row>
    <row r="13" ht="21.75" customHeight="1">
      <c r="A13" s="4" t="inlineStr">
        <is>
          <t>── CONTRAT MAINTENANCE ──</t>
        </is>
      </c>
    </row>
    <row r="14" ht="18" customHeight="1">
      <c r="A14" s="5" t="inlineStr">
        <is>
          <t xml:space="preserve">  Vérifications règlementaires</t>
        </is>
      </c>
    </row>
    <row r="15" ht="15.05" customHeight="1">
      <c r="A15" s="6" t="inlineStr">
        <is>
          <t>BUREAU VERITAS</t>
        </is>
      </c>
      <c r="B15" s="7" t="n">
        <v>46071</v>
      </c>
      <c r="C15" s="6" t="inlineStr">
        <is>
          <t>26099847</t>
        </is>
      </c>
      <c r="D15" s="6" t="inlineStr">
        <is>
          <t>Bât 1 - Vérification efficacité energétique</t>
        </is>
      </c>
      <c r="E15" s="8" t="n">
        <v>700</v>
      </c>
      <c r="F15" s="8" t="n">
        <v>140</v>
      </c>
      <c r="G15" s="8" t="n">
        <v>840</v>
      </c>
    </row>
    <row r="16" ht="15.8" customHeight="1">
      <c r="A16" s="9" t="inlineStr">
        <is>
          <t xml:space="preserve">    Sous-total — Vérifications règlementaires</t>
        </is>
      </c>
      <c r="E16" s="10">
        <f>SUM(E15:E15)</f>
        <v/>
      </c>
      <c r="F16" s="10">
        <f>SUM(F15:F15)</f>
        <v/>
      </c>
      <c r="G16" s="10">
        <f>SUM(G15:G15)</f>
        <v/>
      </c>
    </row>
    <row r="17" ht="21.75" customHeight="1">
      <c r="A17" s="4" t="inlineStr">
        <is>
          <t>── TAXES ──</t>
        </is>
      </c>
    </row>
    <row r="18" ht="18" customHeight="1">
      <c r="A18" s="5" t="inlineStr">
        <is>
          <t xml:space="preserve">  Taxe Bureau &amp; Stationnement</t>
        </is>
      </c>
    </row>
    <row r="19" ht="15.05" customHeight="1">
      <c r="A19" s="6" t="inlineStr">
        <is>
          <t>TRESOR PUBLIC</t>
        </is>
      </c>
      <c r="B19" s="7" t="n">
        <v>45691</v>
      </c>
      <c r="C19" s="6" t="inlineStr">
        <is>
          <t>TB 25 BAT 1</t>
        </is>
      </c>
      <c r="D19" s="6" t="inlineStr">
        <is>
          <t>Bât 1 - Taxe Bureaux</t>
        </is>
      </c>
      <c r="E19" s="8" t="n">
        <v>45514</v>
      </c>
      <c r="F19" s="11" t="n"/>
      <c r="G19" s="8" t="n">
        <v>45514</v>
      </c>
    </row>
    <row r="20" ht="15.05" customHeight="1">
      <c r="A20" s="6" t="inlineStr">
        <is>
          <t>TRESOR PUBLIC</t>
        </is>
      </c>
      <c r="B20" s="7" t="n">
        <v>45691</v>
      </c>
      <c r="C20" s="6" t="inlineStr">
        <is>
          <t>TASS 25 BAT 1</t>
        </is>
      </c>
      <c r="D20" s="6" t="inlineStr">
        <is>
          <t xml:space="preserve">Bât 1 - Taxe Annuelle de Stationnement </t>
        </is>
      </c>
      <c r="E20" s="8" t="n">
        <v>5909</v>
      </c>
      <c r="F20" s="11" t="n"/>
      <c r="G20" s="8" t="n">
        <v>5909</v>
      </c>
    </row>
    <row r="21" ht="15.8" customHeight="1">
      <c r="A21" s="9" t="inlineStr">
        <is>
          <t xml:space="preserve">    Sous-total — Taxe Bureau &amp; Stationnement</t>
        </is>
      </c>
      <c r="E21" s="10">
        <f>SUM(E19:E20)</f>
        <v/>
      </c>
      <c r="F21" s="10">
        <f>SUM(F19:F20)</f>
        <v/>
      </c>
      <c r="G21" s="10">
        <f>SUM(G19:G20)</f>
        <v/>
      </c>
    </row>
    <row r="22" ht="21.75" customHeight="1">
      <c r="A22" s="4" t="inlineStr">
        <is>
          <t>── CHARGES NON RECUPERABLES ──</t>
        </is>
      </c>
    </row>
    <row r="23" ht="18" customHeight="1">
      <c r="A23" s="5" t="inlineStr">
        <is>
          <t xml:space="preserve">  Entretien Courant</t>
        </is>
      </c>
    </row>
    <row r="24" ht="15.05" customHeight="1">
      <c r="A24" s="6" t="inlineStr">
        <is>
          <t>BUREAU VERITAS</t>
        </is>
      </c>
      <c r="B24" s="7" t="n">
        <v>45709</v>
      </c>
      <c r="C24" s="6" t="inlineStr">
        <is>
          <t>25002017</t>
        </is>
      </c>
      <c r="D24" s="6" t="inlineStr">
        <is>
          <t>Bât 1 - Audit de fin de garantie décennale</t>
        </is>
      </c>
      <c r="E24" s="8" t="n">
        <v>5225</v>
      </c>
      <c r="F24" s="8" t="n">
        <v>1045</v>
      </c>
      <c r="G24" s="8" t="n">
        <v>6270</v>
      </c>
    </row>
    <row r="25" ht="15.05" customHeight="1">
      <c r="A25" s="6" t="inlineStr">
        <is>
          <t>BUREAU VERITAS</t>
        </is>
      </c>
      <c r="B25" s="7" t="n">
        <v>46014</v>
      </c>
      <c r="C25" s="6" t="inlineStr">
        <is>
          <t>25800079</t>
        </is>
      </c>
      <c r="D25" s="6" t="inlineStr">
        <is>
          <t>Bât 1 - DPE</t>
        </is>
      </c>
      <c r="E25" s="8" t="n">
        <v>1890</v>
      </c>
      <c r="F25" s="8" t="n">
        <v>378</v>
      </c>
      <c r="G25" s="8" t="n">
        <v>2268</v>
      </c>
    </row>
    <row r="26" ht="15.8" customHeight="1">
      <c r="A26" s="9" t="inlineStr">
        <is>
          <t xml:space="preserve">    Sous-total — Entretien Courant</t>
        </is>
      </c>
      <c r="E26" s="10">
        <f>SUM(E24:E25)</f>
        <v/>
      </c>
      <c r="F26" s="10">
        <f>SUM(F24:F25)</f>
        <v/>
      </c>
      <c r="G26" s="10">
        <f>SUM(G24:G25)</f>
        <v/>
      </c>
    </row>
    <row r="27" ht="6" customHeight="1"/>
    <row r="28" ht="19.55" customHeight="1">
      <c r="A28" s="5" t="inlineStr">
        <is>
          <t>TOTAL — CHARGES NON RÉCUPÉRABLES</t>
        </is>
      </c>
      <c r="E28" s="12">
        <f>E26</f>
        <v/>
      </c>
    </row>
    <row r="29" ht="6" customHeight="1"/>
    <row r="30" ht="25.55" customHeight="1">
      <c r="A30" s="13" t="inlineStr">
        <is>
          <t>TOTAL GÉNÉRAL — CHARGES RÉCUPÉRABLES</t>
        </is>
      </c>
      <c r="E30" s="14">
        <f>E12+E16+E21</f>
        <v/>
      </c>
    </row>
  </sheetData>
  <mergeCells count="12">
    <mergeCell ref="A13:G13"/>
    <mergeCell ref="A1:G1"/>
    <mergeCell ref="A17:G17"/>
    <mergeCell ref="A12:D12"/>
    <mergeCell ref="A22:G22"/>
    <mergeCell ref="A26:D26"/>
    <mergeCell ref="A21:D21"/>
    <mergeCell ref="A4:G4"/>
    <mergeCell ref="A30:D30"/>
    <mergeCell ref="A2:G2"/>
    <mergeCell ref="A16:D16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2" customWidth="1" min="3" max="3"/>
    <col width="45" customWidth="1" min="4" max="4"/>
    <col width="14" customWidth="1" min="5" max="5"/>
    <col width="12" customWidth="1" min="6" max="6"/>
    <col width="14" customWidth="1" min="7" max="7"/>
  </cols>
  <sheetData>
    <row r="1" ht="27.75" customHeight="1">
      <c r="A1" s="1" t="inlineStr">
        <is>
          <t>MEAUX PN01 — MEAUX II 2025</t>
        </is>
      </c>
    </row>
    <row r="2" ht="15.8" customHeight="1">
      <c r="A2" s="2" t="inlineStr">
        <is>
          <t>Site : MEAUX PN01  |  Période : 01/01/2025 – 31/12/2025</t>
        </is>
      </c>
    </row>
    <row r="3" ht="19.55" customHeight="1">
      <c r="A3" s="3" t="inlineStr">
        <is>
          <t>Fournisseur</t>
        </is>
      </c>
      <c r="B3" s="3" t="inlineStr">
        <is>
          <t>Date facture</t>
        </is>
      </c>
      <c r="C3" s="3" t="inlineStr">
        <is>
          <t>N° facture</t>
        </is>
      </c>
      <c r="D3" s="3" t="inlineStr">
        <is>
          <t>Description</t>
        </is>
      </c>
      <c r="E3" s="3" t="inlineStr">
        <is>
          <t>Montant HT (€)</t>
        </is>
      </c>
      <c r="F3" s="3" t="inlineStr">
        <is>
          <t>TVA (€)</t>
        </is>
      </c>
      <c r="G3" s="3" t="inlineStr">
        <is>
          <t>Montant TTC (€)</t>
        </is>
      </c>
    </row>
    <row r="4" ht="21.75" customHeight="1">
      <c r="A4" s="4" t="inlineStr">
        <is>
          <t>── FLUIDES ──</t>
        </is>
      </c>
    </row>
    <row r="5" ht="18" customHeight="1">
      <c r="A5" s="5" t="inlineStr">
        <is>
          <t xml:space="preserve">  Eau</t>
        </is>
      </c>
    </row>
    <row r="6" ht="15.05" customHeight="1">
      <c r="A6" s="6" t="inlineStr">
        <is>
          <t>SAUR</t>
        </is>
      </c>
      <c r="B6" s="7" t="n">
        <v>45875</v>
      </c>
      <c r="C6" s="6" t="inlineStr">
        <is>
          <t>143251095968</t>
        </is>
      </c>
      <c r="D6" s="6" t="inlineStr">
        <is>
          <t>Bât 2 - Eau - 1er Semestre 2025</t>
        </is>
      </c>
      <c r="E6" s="8" t="n">
        <v>3893.61</v>
      </c>
      <c r="F6" s="8" t="n">
        <v>294.79</v>
      </c>
      <c r="G6" s="8" t="n">
        <v>4188.400000000001</v>
      </c>
    </row>
    <row r="7" ht="15.05" customHeight="1">
      <c r="A7" s="6" t="inlineStr">
        <is>
          <t>SAUR</t>
        </is>
      </c>
      <c r="B7" s="7" t="n">
        <v>46021</v>
      </c>
      <c r="C7" s="6" t="inlineStr">
        <is>
          <t>143251133813</t>
        </is>
      </c>
      <c r="D7" s="6" t="inlineStr">
        <is>
          <t>Bât 2 - Eau - 2e Semestre 2025</t>
        </is>
      </c>
      <c r="E7" s="8" t="n">
        <v>4197.62</v>
      </c>
      <c r="F7" s="8" t="n">
        <v>317.82</v>
      </c>
      <c r="G7" s="8" t="n">
        <v>4515.44</v>
      </c>
    </row>
    <row r="8" ht="15.8" customHeight="1">
      <c r="A8" s="9" t="inlineStr">
        <is>
          <t xml:space="preserve">    Sous-total — Eau</t>
        </is>
      </c>
      <c r="E8" s="10">
        <f>SUM(E6:E7)</f>
        <v/>
      </c>
      <c r="F8" s="10">
        <f>SUM(F6:F7)</f>
        <v/>
      </c>
      <c r="G8" s="10">
        <f>SUM(G6:G7)</f>
        <v/>
      </c>
    </row>
    <row r="9" ht="18" customHeight="1">
      <c r="A9" s="5" t="inlineStr">
        <is>
          <t xml:space="preserve">  Eau - Incendie</t>
        </is>
      </c>
    </row>
    <row r="10" ht="15.05" customHeight="1">
      <c r="A10" s="6" t="inlineStr">
        <is>
          <t>SAUR</t>
        </is>
      </c>
      <c r="B10" s="7" t="n">
        <v>45861</v>
      </c>
      <c r="C10" s="6" t="inlineStr">
        <is>
          <t>143251089373</t>
        </is>
      </c>
      <c r="D10" s="6" t="inlineStr">
        <is>
          <t>Bât 2 - Eau incendie - 1er Semestre 2025</t>
        </is>
      </c>
      <c r="E10" s="8" t="n">
        <v>1192.96</v>
      </c>
      <c r="F10" s="8" t="n">
        <v>90.31999999999999</v>
      </c>
      <c r="G10" s="8" t="n">
        <v>1283.28</v>
      </c>
    </row>
    <row r="11" ht="15.05" customHeight="1">
      <c r="A11" s="6" t="inlineStr">
        <is>
          <t>SAUR</t>
        </is>
      </c>
      <c r="B11" s="7" t="n">
        <v>46015</v>
      </c>
      <c r="C11" s="6" t="inlineStr">
        <is>
          <t>143251127006</t>
        </is>
      </c>
      <c r="D11" s="6" t="inlineStr">
        <is>
          <t>Bât 2 - Eau incendie - 2e Semestre 2025</t>
        </is>
      </c>
      <c r="E11" s="8" t="n">
        <v>1279.1</v>
      </c>
      <c r="F11" s="8" t="n">
        <v>96.83</v>
      </c>
      <c r="G11" s="8" t="n">
        <v>1375.93</v>
      </c>
    </row>
    <row r="12" ht="15.8" customHeight="1">
      <c r="A12" s="9" t="inlineStr">
        <is>
          <t xml:space="preserve">    Sous-total — Eau - Incendie</t>
        </is>
      </c>
      <c r="E12" s="10">
        <f>SUM(E10:E11)</f>
        <v/>
      </c>
      <c r="F12" s="10">
        <f>SUM(F10:F11)</f>
        <v/>
      </c>
      <c r="G12" s="10">
        <f>SUM(G10:G11)</f>
        <v/>
      </c>
    </row>
    <row r="13" ht="18" customHeight="1">
      <c r="A13" s="5" t="inlineStr">
        <is>
          <t xml:space="preserve">  Electricité</t>
        </is>
      </c>
    </row>
    <row r="14" ht="15.05" customHeight="1">
      <c r="A14" s="6" t="inlineStr">
        <is>
          <t>ENGIE</t>
        </is>
      </c>
      <c r="B14" s="7" t="n">
        <v>45716</v>
      </c>
      <c r="C14" s="6" t="inlineStr">
        <is>
          <t>690000173551</t>
        </is>
      </c>
      <c r="D14" s="6" t="inlineStr">
        <is>
          <t>Bât 2 - Electricité - Janvier 2025</t>
        </is>
      </c>
      <c r="E14" s="8" t="n">
        <v>4929.91</v>
      </c>
      <c r="F14" s="8" t="n">
        <v>985.98</v>
      </c>
      <c r="G14" s="8" t="n">
        <v>5915.889999999999</v>
      </c>
    </row>
    <row r="15" ht="15.05" customHeight="1">
      <c r="A15" s="6" t="inlineStr">
        <is>
          <t>ENGIE</t>
        </is>
      </c>
      <c r="B15" s="7" t="n">
        <v>45720</v>
      </c>
      <c r="C15" s="6" t="inlineStr">
        <is>
          <t>760000203640</t>
        </is>
      </c>
      <c r="D15" s="6" t="inlineStr">
        <is>
          <t>Bât 2 - Electricité - Février 2025</t>
        </is>
      </c>
      <c r="E15" s="8" t="n">
        <v>4388.07</v>
      </c>
      <c r="F15" s="8" t="n">
        <v>877.61</v>
      </c>
      <c r="G15" s="8" t="n">
        <v>5265.679999999999</v>
      </c>
    </row>
    <row r="16" ht="15.05" customHeight="1">
      <c r="A16" s="6" t="inlineStr">
        <is>
          <t>ENGIE</t>
        </is>
      </c>
      <c r="B16" s="7" t="n">
        <v>45750</v>
      </c>
      <c r="C16" s="6" t="inlineStr">
        <is>
          <t>750000222782</t>
        </is>
      </c>
      <c r="D16" s="6" t="inlineStr">
        <is>
          <t>Bât 2 - Electricité - Mars 2025</t>
        </is>
      </c>
      <c r="E16" s="8" t="n">
        <v>4162.4</v>
      </c>
      <c r="F16" s="8" t="n">
        <v>832.48</v>
      </c>
      <c r="G16" s="8" t="n">
        <v>4994.879999999999</v>
      </c>
    </row>
    <row r="17" ht="15.05" customHeight="1">
      <c r="A17" s="6" t="inlineStr">
        <is>
          <t>ENGIE</t>
        </is>
      </c>
      <c r="B17" s="7" t="n">
        <v>45780</v>
      </c>
      <c r="C17" s="6" t="inlineStr">
        <is>
          <t>720001217478</t>
        </is>
      </c>
      <c r="D17" s="6" t="inlineStr">
        <is>
          <t>Bât 2 - Electricité - Avril 2025</t>
        </is>
      </c>
      <c r="E17" s="8" t="n">
        <v>3148.38</v>
      </c>
      <c r="F17" s="8" t="n">
        <v>629.6799999999999</v>
      </c>
      <c r="G17" s="8" t="n">
        <v>3778.06</v>
      </c>
    </row>
    <row r="18" ht="15.05" customHeight="1">
      <c r="A18" s="6" t="inlineStr">
        <is>
          <t>ENGIE</t>
        </is>
      </c>
      <c r="B18" s="7" t="n">
        <v>45813</v>
      </c>
      <c r="C18" s="6" t="inlineStr">
        <is>
          <t>820006183065</t>
        </is>
      </c>
      <c r="D18" s="6" t="inlineStr">
        <is>
          <t>Bât 2 - Electricité - Mai 2025</t>
        </is>
      </c>
      <c r="E18" s="8" t="n">
        <v>3136.34</v>
      </c>
      <c r="F18" s="8" t="n">
        <v>627.27</v>
      </c>
      <c r="G18" s="8" t="n">
        <v>3763.61</v>
      </c>
    </row>
    <row r="19" ht="15.05" customHeight="1">
      <c r="A19" s="6" t="inlineStr">
        <is>
          <t>ENGIE</t>
        </is>
      </c>
      <c r="B19" s="7" t="n">
        <v>45843</v>
      </c>
      <c r="C19" s="6" t="inlineStr">
        <is>
          <t>220008464987</t>
        </is>
      </c>
      <c r="D19" s="6" t="inlineStr">
        <is>
          <t>Bât 2 - Electricité - Juin 2025</t>
        </is>
      </c>
      <c r="E19" s="8" t="n">
        <v>3030.18</v>
      </c>
      <c r="F19" s="8" t="n">
        <v>606.04</v>
      </c>
      <c r="G19" s="8" t="n">
        <v>3636.22</v>
      </c>
    </row>
    <row r="20" ht="15.05" customHeight="1">
      <c r="A20" s="6" t="inlineStr">
        <is>
          <t>ENGIE</t>
        </is>
      </c>
      <c r="B20" s="7" t="n">
        <v>45874</v>
      </c>
      <c r="C20" s="6" t="inlineStr">
        <is>
          <t>650000306105</t>
        </is>
      </c>
      <c r="D20" s="6" t="inlineStr">
        <is>
          <t>Bât 2 - Electricité - Juillet 2025</t>
        </is>
      </c>
      <c r="E20" s="8" t="n">
        <v>3106.96</v>
      </c>
      <c r="F20" s="8" t="n">
        <v>621.39</v>
      </c>
      <c r="G20" s="8" t="n">
        <v>3728.35</v>
      </c>
    </row>
    <row r="21" ht="15.05" customHeight="1">
      <c r="A21" s="6" t="inlineStr">
        <is>
          <t>ENGIE</t>
        </is>
      </c>
      <c r="B21" s="7" t="n">
        <v>45904</v>
      </c>
      <c r="C21" s="6" t="inlineStr">
        <is>
          <t>650000320261</t>
        </is>
      </c>
      <c r="D21" s="6" t="inlineStr">
        <is>
          <t>Bât 2 - Electricité - Août 2025</t>
        </is>
      </c>
      <c r="E21" s="8" t="n">
        <v>3121.38</v>
      </c>
      <c r="F21" s="8" t="n">
        <v>624.28</v>
      </c>
      <c r="G21" s="8" t="n">
        <v>3745.66</v>
      </c>
    </row>
    <row r="22" ht="15.05" customHeight="1">
      <c r="A22" s="6" t="inlineStr">
        <is>
          <t>ENGIE</t>
        </is>
      </c>
      <c r="B22" s="7" t="n">
        <v>45934</v>
      </c>
      <c r="C22" s="6" t="inlineStr">
        <is>
          <t>750000368041</t>
        </is>
      </c>
      <c r="D22" s="6" t="inlineStr">
        <is>
          <t>Bât 2 - Electricité - Septembre 2025</t>
        </is>
      </c>
      <c r="E22" s="8" t="n">
        <v>3050.16</v>
      </c>
      <c r="F22" s="8" t="n">
        <v>610.03</v>
      </c>
      <c r="G22" s="8" t="n">
        <v>3660.19</v>
      </c>
    </row>
    <row r="23" ht="15.05" customHeight="1">
      <c r="A23" s="6" t="inlineStr">
        <is>
          <t>ENGIE</t>
        </is>
      </c>
      <c r="B23" s="7" t="n">
        <v>45986</v>
      </c>
      <c r="C23" s="6" t="inlineStr">
        <is>
          <t>820001348456</t>
        </is>
      </c>
      <c r="D23" s="6" t="inlineStr">
        <is>
          <t>Bât 2 - Electricité - Octobre 2025</t>
        </is>
      </c>
      <c r="E23" s="8" t="n">
        <v>3204.07</v>
      </c>
      <c r="F23" s="8" t="n">
        <v>640.8099999999999</v>
      </c>
      <c r="G23" s="8" t="n">
        <v>3844.88</v>
      </c>
    </row>
    <row r="24" ht="15.05" customHeight="1">
      <c r="A24" s="6" t="inlineStr">
        <is>
          <t>ENGIE</t>
        </is>
      </c>
      <c r="B24" s="7" t="n">
        <v>45995</v>
      </c>
      <c r="C24" s="6" t="inlineStr">
        <is>
          <t>970006214475</t>
        </is>
      </c>
      <c r="D24" s="6" t="inlineStr">
        <is>
          <t>Bât 2 - Electricité - Novembre 2025</t>
        </is>
      </c>
      <c r="E24" s="8" t="n">
        <v>4629.57</v>
      </c>
      <c r="F24" s="8" t="n">
        <v>925.91</v>
      </c>
      <c r="G24" s="8" t="n">
        <v>5555.48</v>
      </c>
    </row>
    <row r="25" ht="15.05" customHeight="1">
      <c r="A25" s="6" t="inlineStr">
        <is>
          <t>ENGIE</t>
        </is>
      </c>
      <c r="B25" s="7" t="n">
        <v>46027</v>
      </c>
      <c r="C25" s="6" t="inlineStr">
        <is>
          <t>760000419690</t>
        </is>
      </c>
      <c r="D25" s="6" t="inlineStr">
        <is>
          <t>Bât 2 - Electricité - Décembre 2025</t>
        </is>
      </c>
      <c r="E25" s="8" t="n">
        <v>6315.18</v>
      </c>
      <c r="F25" s="8" t="n">
        <v>1263.04</v>
      </c>
      <c r="G25" s="8" t="n">
        <v>7578.22</v>
      </c>
    </row>
    <row r="26" ht="15.8" customHeight="1">
      <c r="A26" s="9" t="inlineStr">
        <is>
          <t xml:space="preserve">    Sous-total — Electricité</t>
        </is>
      </c>
      <c r="E26" s="10">
        <f>SUM(E14:E25)</f>
        <v/>
      </c>
      <c r="F26" s="10">
        <f>SUM(F14:F25)</f>
        <v/>
      </c>
      <c r="G26" s="10">
        <f>SUM(G14:G25)</f>
        <v/>
      </c>
    </row>
    <row r="27" ht="18" customHeight="1">
      <c r="A27" s="5" t="inlineStr">
        <is>
          <t xml:space="preserve">  Gaz</t>
        </is>
      </c>
    </row>
    <row r="28" ht="15.05" customHeight="1">
      <c r="A28" s="6" t="inlineStr">
        <is>
          <t>ENGIE</t>
        </is>
      </c>
      <c r="B28" s="7" t="n">
        <v>45694</v>
      </c>
      <c r="C28" s="6" t="inlineStr">
        <is>
          <t>670000182108</t>
        </is>
      </c>
      <c r="D28" s="6" t="inlineStr">
        <is>
          <t>Bât 2 - Gaz - Janvier 2025</t>
        </is>
      </c>
      <c r="E28" s="8" t="n">
        <v>603.35</v>
      </c>
      <c r="F28" s="8" t="n">
        <v>50.67</v>
      </c>
      <c r="G28" s="8" t="n">
        <v>654.02</v>
      </c>
    </row>
    <row r="29" ht="15.05" customHeight="1">
      <c r="A29" s="6" t="inlineStr">
        <is>
          <t>ENGIE</t>
        </is>
      </c>
      <c r="B29" s="7" t="n">
        <v>45723</v>
      </c>
      <c r="C29" s="6" t="inlineStr">
        <is>
          <t>740000258211</t>
        </is>
      </c>
      <c r="D29" s="6" t="inlineStr">
        <is>
          <t>Bât 2 - Gaz - Février 2025</t>
        </is>
      </c>
      <c r="E29" s="8" t="n">
        <v>555.4</v>
      </c>
      <c r="F29" s="8" t="n">
        <v>41.08</v>
      </c>
      <c r="G29" s="8" t="n">
        <v>596.48</v>
      </c>
    </row>
    <row r="30" ht="15.05" customHeight="1">
      <c r="A30" s="6" t="inlineStr">
        <is>
          <t>ENGIE</t>
        </is>
      </c>
      <c r="B30" s="7" t="n">
        <v>45751</v>
      </c>
      <c r="C30" s="6" t="inlineStr">
        <is>
          <t>850005816723</t>
        </is>
      </c>
      <c r="D30" s="6" t="inlineStr">
        <is>
          <t>Bât 2 - Gaz - Mars 2025</t>
        </is>
      </c>
      <c r="E30" s="8" t="n">
        <v>554.4</v>
      </c>
      <c r="F30" s="8" t="n">
        <v>40.88</v>
      </c>
      <c r="G30" s="8" t="n">
        <v>595.28</v>
      </c>
    </row>
    <row r="31" ht="15.05" customHeight="1">
      <c r="A31" s="6" t="inlineStr">
        <is>
          <t>ENGIE</t>
        </is>
      </c>
      <c r="B31" s="7" t="n">
        <v>45783</v>
      </c>
      <c r="C31" s="6" t="inlineStr">
        <is>
          <t>120009626935</t>
        </is>
      </c>
      <c r="D31" s="6" t="inlineStr">
        <is>
          <t>Bât 2 - Gaz - Avril 2025</t>
        </is>
      </c>
      <c r="E31" s="8" t="n">
        <v>554.4</v>
      </c>
      <c r="F31" s="8" t="n">
        <v>40.88</v>
      </c>
      <c r="G31" s="8" t="n">
        <v>595.28</v>
      </c>
    </row>
    <row r="32" ht="15.05" customHeight="1">
      <c r="A32" s="6" t="inlineStr">
        <is>
          <t>ENGIE</t>
        </is>
      </c>
      <c r="B32" s="7" t="n">
        <v>45812</v>
      </c>
      <c r="C32" s="6" t="inlineStr">
        <is>
          <t>320007759177</t>
        </is>
      </c>
      <c r="D32" s="6" t="inlineStr">
        <is>
          <t>Bât 2 - Gaz - Mai 2025</t>
        </is>
      </c>
      <c r="E32" s="8" t="n">
        <v>563.64</v>
      </c>
      <c r="F32" s="8" t="n">
        <v>42.73</v>
      </c>
      <c r="G32" s="8" t="n">
        <v>606.37</v>
      </c>
    </row>
    <row r="33" ht="15.05" customHeight="1">
      <c r="A33" s="6" t="inlineStr">
        <is>
          <t>ENGIE</t>
        </is>
      </c>
      <c r="B33" s="7" t="n">
        <v>45842</v>
      </c>
      <c r="C33" s="6" t="inlineStr">
        <is>
          <t>850005885257</t>
        </is>
      </c>
      <c r="D33" s="6" t="inlineStr">
        <is>
          <t>Bât 2 - Gaz - Juin 2025</t>
        </is>
      </c>
      <c r="E33" s="8" t="n">
        <v>554.4</v>
      </c>
      <c r="F33" s="8" t="n">
        <v>40.88</v>
      </c>
      <c r="G33" s="8" t="n">
        <v>595.28</v>
      </c>
    </row>
    <row r="34" ht="15.05" customHeight="1">
      <c r="A34" s="6" t="inlineStr">
        <is>
          <t>ENGIE</t>
        </is>
      </c>
      <c r="B34" s="7" t="n">
        <v>45873</v>
      </c>
      <c r="C34" s="6" t="inlineStr">
        <is>
          <t>420006864904</t>
        </is>
      </c>
      <c r="D34" s="6" t="inlineStr">
        <is>
          <t>Bât 2 - Gaz - Juillet 2025</t>
        </is>
      </c>
      <c r="E34" s="8" t="n">
        <v>557.12</v>
      </c>
      <c r="F34" s="8" t="n">
        <v>41.22</v>
      </c>
      <c r="G34" s="8" t="n">
        <v>598.34</v>
      </c>
    </row>
    <row r="35" ht="15.05" customHeight="1">
      <c r="A35" s="6" t="inlineStr">
        <is>
          <t>ENGIE</t>
        </is>
      </c>
      <c r="B35" s="7" t="n">
        <v>45904</v>
      </c>
      <c r="C35" s="6" t="inlineStr">
        <is>
          <t>850005934224</t>
        </is>
      </c>
      <c r="D35" s="6" t="inlineStr">
        <is>
          <t>Bât 2 - Gaz - Août 2025</t>
        </is>
      </c>
      <c r="E35" s="8" t="n">
        <v>557.12</v>
      </c>
      <c r="F35" s="8" t="n">
        <v>111.42</v>
      </c>
      <c r="G35" s="8" t="n">
        <v>668.54</v>
      </c>
    </row>
    <row r="36" ht="15.05" customHeight="1">
      <c r="A36" s="6" t="inlineStr">
        <is>
          <t>ENGIE</t>
        </is>
      </c>
      <c r="B36" s="7" t="n">
        <v>45933</v>
      </c>
      <c r="C36" s="6" t="inlineStr">
        <is>
          <t>690000351291</t>
        </is>
      </c>
      <c r="D36" s="6" t="inlineStr">
        <is>
          <t>Bât 2 - Gaz - Septembre 2025</t>
        </is>
      </c>
      <c r="E36" s="8" t="n">
        <v>224.8</v>
      </c>
      <c r="F36" s="8" t="n">
        <v>44.96</v>
      </c>
      <c r="G36" s="8" t="n">
        <v>269.76</v>
      </c>
    </row>
    <row r="37" ht="15.05" customHeight="1">
      <c r="A37" s="6" t="inlineStr">
        <is>
          <t>ENGIE</t>
        </is>
      </c>
      <c r="B37" s="7" t="n">
        <v>45965</v>
      </c>
      <c r="C37" s="6" t="inlineStr">
        <is>
          <t>320007853625</t>
        </is>
      </c>
      <c r="D37" s="6" t="inlineStr">
        <is>
          <t>Bât 2 - Gaz - Octobre 2025</t>
        </is>
      </c>
      <c r="E37" s="8" t="n">
        <v>224.8</v>
      </c>
      <c r="F37" s="8" t="n">
        <v>44.96</v>
      </c>
      <c r="G37" s="8" t="n">
        <v>269.76</v>
      </c>
    </row>
    <row r="38" ht="15.05" customHeight="1">
      <c r="A38" s="6" t="inlineStr">
        <is>
          <t>ENGIE</t>
        </is>
      </c>
      <c r="B38" s="7" t="n">
        <v>45993</v>
      </c>
      <c r="C38" s="6" t="inlineStr">
        <is>
          <t>40017179466</t>
        </is>
      </c>
      <c r="D38" s="6" t="inlineStr">
        <is>
          <t>Bât 2 - Gaz - Novembre 2025</t>
        </is>
      </c>
      <c r="E38" s="8" t="n">
        <v>303.68</v>
      </c>
      <c r="F38" s="8" t="n">
        <v>60.74</v>
      </c>
      <c r="G38" s="8" t="n">
        <v>364.42</v>
      </c>
    </row>
    <row r="39" ht="15.05" customHeight="1">
      <c r="A39" s="6" t="inlineStr">
        <is>
          <t>ENGIE</t>
        </is>
      </c>
      <c r="B39" s="7" t="n">
        <v>46028</v>
      </c>
      <c r="C39" s="6" t="inlineStr">
        <is>
          <t>640000378012</t>
        </is>
      </c>
      <c r="D39" s="6" t="inlineStr">
        <is>
          <t>Bât 2 - Gaz - Décembre 2025</t>
        </is>
      </c>
      <c r="E39" s="8" t="n">
        <v>224.8</v>
      </c>
      <c r="F39" s="8" t="n">
        <v>44.96</v>
      </c>
      <c r="G39" s="8" t="n">
        <v>269.76</v>
      </c>
    </row>
    <row r="40" ht="15.8" customHeight="1">
      <c r="A40" s="9" t="inlineStr">
        <is>
          <t xml:space="preserve">    Sous-total — Gaz</t>
        </is>
      </c>
      <c r="E40" s="10">
        <f>SUM(E28:E39)</f>
        <v/>
      </c>
      <c r="F40" s="10">
        <f>SUM(F28:F39)</f>
        <v/>
      </c>
      <c r="G40" s="10">
        <f>SUM(G28:G39)</f>
        <v/>
      </c>
    </row>
    <row r="41" ht="21.75" customHeight="1">
      <c r="A41" s="4" t="inlineStr">
        <is>
          <t>── HONORAIRES ──</t>
        </is>
      </c>
    </row>
    <row r="42" ht="18" customHeight="1">
      <c r="A42" s="5" t="inlineStr">
        <is>
          <t xml:space="preserve">  Honoraires Divers</t>
        </is>
      </c>
    </row>
    <row r="43" ht="15.05" customHeight="1">
      <c r="A43" s="6" t="inlineStr">
        <is>
          <t>C-JUSTICE</t>
        </is>
      </c>
      <c r="B43" s="7" t="n">
        <v>45980</v>
      </c>
      <c r="C43" s="6" t="inlineStr">
        <is>
          <t>25.11.5229</t>
        </is>
      </c>
      <c r="D43" s="6" t="inlineStr">
        <is>
          <t>Bât 2 - PV Constat - 50% EDLE du 07/11 Delisle</t>
        </is>
      </c>
      <c r="E43" s="8" t="n">
        <v>300</v>
      </c>
      <c r="F43" s="8" t="n">
        <v>60</v>
      </c>
      <c r="G43" s="8" t="n">
        <v>360</v>
      </c>
    </row>
    <row r="44" ht="15.05" customHeight="1">
      <c r="A44" s="6" t="inlineStr">
        <is>
          <t>CJCE</t>
        </is>
      </c>
      <c r="B44" s="7" t="n">
        <v>45997</v>
      </c>
      <c r="C44" s="6" t="inlineStr">
        <is>
          <t>25-15258</t>
        </is>
      </c>
      <c r="D44" s="6" t="inlineStr">
        <is>
          <t>Bât 2 - PV Constat - 50% EDLE du 25/11 SHAOKE</t>
        </is>
      </c>
      <c r="E44" s="8" t="n">
        <v>400</v>
      </c>
      <c r="F44" s="8" t="n">
        <v>80</v>
      </c>
      <c r="G44" s="8" t="n">
        <v>480</v>
      </c>
    </row>
    <row r="45" ht="15.8" customHeight="1">
      <c r="A45" s="9" t="inlineStr">
        <is>
          <t xml:space="preserve">    Sous-total — Honoraires Divers</t>
        </is>
      </c>
      <c r="E45" s="10">
        <f>SUM(E43:E44)</f>
        <v/>
      </c>
      <c r="F45" s="10">
        <f>SUM(F43:F44)</f>
        <v/>
      </c>
      <c r="G45" s="10">
        <f>SUM(G43:G44)</f>
        <v/>
      </c>
    </row>
    <row r="46" ht="21.75" customHeight="1">
      <c r="A46" s="4" t="inlineStr">
        <is>
          <t>── TRAVAUX ──</t>
        </is>
      </c>
    </row>
    <row r="47" ht="18" customHeight="1">
      <c r="A47" s="5" t="inlineStr">
        <is>
          <t xml:space="preserve">  Entretien Courant</t>
        </is>
      </c>
    </row>
    <row r="48" ht="15.05" customHeight="1">
      <c r="A48" s="6" t="inlineStr">
        <is>
          <t>AAI</t>
        </is>
      </c>
      <c r="B48" s="7" t="n">
        <v>45793</v>
      </c>
      <c r="C48" s="6" t="inlineStr">
        <is>
          <t>90117651</t>
        </is>
      </c>
      <c r="D48" s="6" t="inlineStr">
        <is>
          <t>Bât 2 - Remplac. Tresses pompes</t>
        </is>
      </c>
      <c r="E48" s="8" t="n">
        <v>1535</v>
      </c>
      <c r="F48" s="8" t="n">
        <v>307</v>
      </c>
      <c r="G48" s="8" t="n">
        <v>1842</v>
      </c>
    </row>
    <row r="49" ht="15.05" customHeight="1">
      <c r="A49" s="6" t="inlineStr">
        <is>
          <t>AAI</t>
        </is>
      </c>
      <c r="B49" s="7" t="n">
        <v>45777</v>
      </c>
      <c r="C49" s="6" t="inlineStr">
        <is>
          <t>90117212</t>
        </is>
      </c>
      <c r="D49" s="6" t="inlineStr">
        <is>
          <t xml:space="preserve">Bât 2 - Remplacement du thermoplongeur et joints klyngérites </t>
        </is>
      </c>
      <c r="E49" s="8" t="n">
        <v>2389</v>
      </c>
      <c r="F49" s="8" t="n">
        <v>477.8</v>
      </c>
      <c r="G49" s="8" t="n">
        <v>2866.8</v>
      </c>
    </row>
    <row r="50" ht="15.05" customHeight="1">
      <c r="A50" s="6" t="inlineStr">
        <is>
          <t>SOPREMA</t>
        </is>
      </c>
      <c r="B50" s="7" t="n">
        <v>45818</v>
      </c>
      <c r="C50" s="6" t="inlineStr">
        <is>
          <t>25.15.2.6261</t>
        </is>
      </c>
      <c r="D50" s="6" t="inlineStr">
        <is>
          <t>Bât 2 - Débouchage EEP siphoides obstruées suite maintenace</t>
        </is>
      </c>
      <c r="E50" s="8" t="n">
        <v>2220</v>
      </c>
      <c r="F50" s="8" t="n">
        <v>444</v>
      </c>
      <c r="G50" s="8" t="n">
        <v>2664</v>
      </c>
    </row>
    <row r="51" ht="15.05" customHeight="1">
      <c r="A51" s="6" t="inlineStr">
        <is>
          <t>MADIS</t>
        </is>
      </c>
      <c r="B51" s="7" t="n">
        <v>45849</v>
      </c>
      <c r="C51" s="6" t="inlineStr">
        <is>
          <t>FA2507-0599</t>
        </is>
      </c>
      <c r="D51" s="6" t="inlineStr">
        <is>
          <t>Bät 2 - Contrôle de poteau incendie en simultané</t>
        </is>
      </c>
      <c r="E51" s="8" t="n">
        <v>1340</v>
      </c>
      <c r="F51" s="8" t="n">
        <v>268</v>
      </c>
      <c r="G51" s="8" t="n">
        <v>1608</v>
      </c>
    </row>
    <row r="52" ht="15.05" customHeight="1">
      <c r="A52" s="6" t="inlineStr">
        <is>
          <t>AAI</t>
        </is>
      </c>
      <c r="B52" s="7" t="n">
        <v>46044</v>
      </c>
      <c r="C52" s="6" t="inlineStr">
        <is>
          <t>90130177</t>
        </is>
      </c>
      <c r="D52" s="6" t="inlineStr">
        <is>
          <t>Bât 2 - Remplacement arbre moteur</t>
        </is>
      </c>
      <c r="E52" s="8" t="n">
        <v>6442</v>
      </c>
      <c r="F52" s="8" t="n">
        <v>1288.4</v>
      </c>
      <c r="G52" s="8" t="n">
        <v>7730.4</v>
      </c>
    </row>
    <row r="53" ht="15.05" customHeight="1">
      <c r="A53" s="6" t="inlineStr">
        <is>
          <t>DIRICKX</t>
        </is>
      </c>
      <c r="B53" s="7" t="n">
        <v>45866</v>
      </c>
      <c r="C53" s="6" t="inlineStr">
        <is>
          <t>90753857</t>
        </is>
      </c>
      <c r="D53" s="6" t="inlineStr">
        <is>
          <t>Bât 2 - Remplac. détecteur boucle portail</t>
        </is>
      </c>
      <c r="E53" s="8" t="n">
        <v>155.13</v>
      </c>
      <c r="F53" s="8" t="n">
        <v>31.03</v>
      </c>
      <c r="G53" s="8" t="n">
        <v>186.16</v>
      </c>
    </row>
    <row r="54" ht="15.05" customHeight="1">
      <c r="A54" s="6" t="inlineStr">
        <is>
          <t>SMGE</t>
        </is>
      </c>
      <c r="B54" s="7" t="n">
        <v>45940</v>
      </c>
      <c r="C54" s="6" t="inlineStr">
        <is>
          <t>F251019</t>
        </is>
      </c>
      <c r="D54" s="6" t="inlineStr">
        <is>
          <t>Bât 2 - Dépannage SSI du 09/25</t>
        </is>
      </c>
      <c r="E54" s="8" t="n">
        <v>300</v>
      </c>
      <c r="F54" s="8" t="n">
        <v>60</v>
      </c>
      <c r="G54" s="8" t="n">
        <v>360</v>
      </c>
    </row>
    <row r="55" ht="15.05" customHeight="1">
      <c r="A55" s="6" t="inlineStr">
        <is>
          <t xml:space="preserve">CVC </t>
        </is>
      </c>
      <c r="B55" s="7" t="n">
        <v>45954</v>
      </c>
      <c r="C55" s="6" t="inlineStr">
        <is>
          <t>25.10.8554</t>
        </is>
      </c>
      <c r="D55" s="6" t="inlineStr">
        <is>
          <t>Bât 2 - Dépannage défaut chaufferie</t>
        </is>
      </c>
      <c r="E55" s="8" t="n">
        <v>250</v>
      </c>
      <c r="F55" s="8" t="n">
        <v>50</v>
      </c>
      <c r="G55" s="8" t="n">
        <v>300</v>
      </c>
    </row>
    <row r="56" ht="15.05" customHeight="1">
      <c r="A56" s="6" t="inlineStr">
        <is>
          <t>FIVO</t>
        </is>
      </c>
      <c r="B56" s="7" t="n">
        <v>45930</v>
      </c>
      <c r="C56" s="6" t="inlineStr">
        <is>
          <t>FACT04924</t>
        </is>
      </c>
      <c r="D56" s="6" t="inlineStr">
        <is>
          <t>Bât 2 - Dépannage PCF du 29/09/25</t>
        </is>
      </c>
      <c r="E56" s="8" t="n">
        <v>850</v>
      </c>
      <c r="F56" s="8" t="n">
        <v>170</v>
      </c>
      <c r="G56" s="8" t="n">
        <v>1020</v>
      </c>
    </row>
    <row r="57" ht="15.05" customHeight="1">
      <c r="A57" s="6" t="inlineStr">
        <is>
          <t xml:space="preserve">CVC </t>
        </is>
      </c>
      <c r="B57" s="7" t="n">
        <v>45988</v>
      </c>
      <c r="C57" s="6" t="inlineStr">
        <is>
          <t>25.11.8609</t>
        </is>
      </c>
      <c r="D57" s="6" t="inlineStr">
        <is>
          <t>Bât 2 - Entretien de la climatisation et CTA</t>
        </is>
      </c>
      <c r="E57" s="8" t="n">
        <v>3940</v>
      </c>
      <c r="F57" s="8" t="n">
        <v>788</v>
      </c>
      <c r="G57" s="8" t="n">
        <v>4728</v>
      </c>
    </row>
    <row r="58" ht="15.05" customHeight="1">
      <c r="A58" s="6" t="inlineStr">
        <is>
          <t xml:space="preserve">CVC </t>
        </is>
      </c>
      <c r="B58" s="7" t="n">
        <v>45987</v>
      </c>
      <c r="C58" s="6" t="inlineStr">
        <is>
          <t>25.11.8607</t>
        </is>
      </c>
      <c r="D58" s="6" t="inlineStr">
        <is>
          <t>Bât 2 - Régul. dépannage fuite quai 19</t>
        </is>
      </c>
      <c r="E58" s="8" t="n">
        <v>1114.63</v>
      </c>
      <c r="F58" s="8" t="n">
        <v>222.93</v>
      </c>
      <c r="G58" s="8" t="n">
        <v>1337.56</v>
      </c>
    </row>
    <row r="59" ht="15.05" customHeight="1">
      <c r="A59" s="6" t="inlineStr">
        <is>
          <t xml:space="preserve">CVC </t>
        </is>
      </c>
      <c r="B59" s="7" t="n">
        <v>46002</v>
      </c>
      <c r="C59" s="6" t="inlineStr">
        <is>
          <t>25.12.8631</t>
        </is>
      </c>
      <c r="D59" s="6" t="inlineStr">
        <is>
          <t xml:space="preserve">Bât 2 - Accompagnement Bureau Veritas vérif. énergétique </t>
        </is>
      </c>
      <c r="E59" s="8" t="n">
        <v>165</v>
      </c>
      <c r="F59" s="8" t="n">
        <v>33</v>
      </c>
      <c r="G59" s="8" t="n">
        <v>198</v>
      </c>
    </row>
    <row r="60" ht="15.05" customHeight="1">
      <c r="A60" s="6" t="inlineStr">
        <is>
          <t xml:space="preserve">CVC </t>
        </is>
      </c>
      <c r="B60" s="7" t="n">
        <v>46086</v>
      </c>
      <c r="C60" s="6" t="inlineStr">
        <is>
          <t>26.03.8779</t>
        </is>
      </c>
      <c r="D60" s="6" t="inlineStr">
        <is>
          <t>Bât 2 - Mise en place panneau vanne gaz</t>
        </is>
      </c>
      <c r="E60" s="8" t="n">
        <v>293.03</v>
      </c>
      <c r="F60" s="8" t="n">
        <v>58.61</v>
      </c>
      <c r="G60" s="8" t="n">
        <v>351.64</v>
      </c>
    </row>
    <row r="61" ht="15.05" customHeight="1">
      <c r="A61" s="6" t="inlineStr">
        <is>
          <t xml:space="preserve">CVC </t>
        </is>
      </c>
      <c r="B61" s="7" t="n">
        <v>46106</v>
      </c>
      <c r="C61" s="6" t="inlineStr">
        <is>
          <t>26.03.8831</t>
        </is>
      </c>
      <c r="D61" s="6" t="inlineStr">
        <is>
          <t>Bât 2 - Dépannage défaut chaufferie</t>
        </is>
      </c>
      <c r="E61" s="8" t="n">
        <v>305</v>
      </c>
      <c r="F61" s="8" t="n">
        <v>61</v>
      </c>
      <c r="G61" s="8" t="n">
        <v>366</v>
      </c>
    </row>
    <row r="62" ht="15.05" customHeight="1">
      <c r="A62" s="6" t="inlineStr">
        <is>
          <t>SMGE</t>
        </is>
      </c>
      <c r="B62" s="7" t="n">
        <v>46083</v>
      </c>
      <c r="C62" s="6" t="inlineStr">
        <is>
          <t>F251212</t>
        </is>
      </c>
      <c r="D62" s="6" t="inlineStr">
        <is>
          <t>Bât 2 - Interv panne SSI du 22/12/25</t>
        </is>
      </c>
      <c r="E62" s="8" t="n">
        <v>1950</v>
      </c>
      <c r="F62" s="8" t="n">
        <v>390</v>
      </c>
      <c r="G62" s="8" t="n">
        <v>2340</v>
      </c>
    </row>
    <row r="63" ht="15.8" customHeight="1">
      <c r="A63" s="9" t="inlineStr">
        <is>
          <t xml:space="preserve">    Sous-total — Entretien Courant</t>
        </is>
      </c>
      <c r="E63" s="10">
        <f>SUM(E48:E62)</f>
        <v/>
      </c>
      <c r="F63" s="10">
        <f>SUM(F48:F62)</f>
        <v/>
      </c>
      <c r="G63" s="10">
        <f>SUM(G48:G62)</f>
        <v/>
      </c>
    </row>
    <row r="64" ht="21.75" customHeight="1">
      <c r="A64" s="4" t="inlineStr">
        <is>
          <t>── CONTRAT MAINTENANCE ──</t>
        </is>
      </c>
    </row>
    <row r="65" ht="18" customHeight="1">
      <c r="A65" s="5" t="inlineStr">
        <is>
          <t xml:space="preserve">  Ascenseur</t>
        </is>
      </c>
    </row>
    <row r="66" ht="15.05" customHeight="1">
      <c r="A66" s="6" t="inlineStr">
        <is>
          <t>OTIS</t>
        </is>
      </c>
      <c r="B66" s="7" t="n">
        <v>46024</v>
      </c>
      <c r="C66" s="6" t="inlineStr">
        <is>
          <t>8544830</t>
        </is>
      </c>
      <c r="D66" s="6" t="inlineStr">
        <is>
          <t>Bât 2 - Entretien Ascenseur - Décembre 2025</t>
        </is>
      </c>
      <c r="E66" s="8" t="n">
        <v>131.67</v>
      </c>
      <c r="F66" s="8" t="n">
        <v>26.33</v>
      </c>
      <c r="G66" s="8" t="n">
        <v>158</v>
      </c>
    </row>
    <row r="67" ht="15.8" customHeight="1">
      <c r="A67" s="9" t="inlineStr">
        <is>
          <t xml:space="preserve">    Sous-total — Ascenseur</t>
        </is>
      </c>
      <c r="E67" s="10">
        <f>SUM(E66:E66)</f>
        <v/>
      </c>
      <c r="F67" s="10">
        <f>SUM(F66:F66)</f>
        <v/>
      </c>
      <c r="G67" s="10">
        <f>SUM(G66:G66)</f>
        <v/>
      </c>
    </row>
    <row r="68" ht="18" customHeight="1">
      <c r="A68" s="5" t="inlineStr">
        <is>
          <t xml:space="preserve">  Chaufferie</t>
        </is>
      </c>
    </row>
    <row r="69" ht="15.05" customHeight="1">
      <c r="A69" s="6" t="inlineStr">
        <is>
          <t>CVC MAINTENANCE</t>
        </is>
      </c>
      <c r="B69" s="7" t="n">
        <v>45677</v>
      </c>
      <c r="C69" s="6" t="inlineStr">
        <is>
          <t>FAC25-01-8248</t>
        </is>
      </c>
      <c r="D69" s="6" t="inlineStr">
        <is>
          <t>Bât 2 - Entretien chauffage - 1er Semestre 2025</t>
        </is>
      </c>
      <c r="E69" s="8" t="n">
        <v>2488.8</v>
      </c>
      <c r="F69" s="8" t="n">
        <v>497.76</v>
      </c>
      <c r="G69" s="8" t="n">
        <v>2986.56</v>
      </c>
    </row>
    <row r="70" ht="15.05" customHeight="1">
      <c r="A70" s="6" t="inlineStr">
        <is>
          <t>CVC MAINTENANCE</t>
        </is>
      </c>
      <c r="B70" s="7" t="n">
        <v>45840</v>
      </c>
      <c r="C70" s="6" t="inlineStr">
        <is>
          <t>FAC25-07-8473</t>
        </is>
      </c>
      <c r="D70" s="6" t="inlineStr">
        <is>
          <t>Bât 2 - Entretien chauffage - 2e Semestre 2025</t>
        </is>
      </c>
      <c r="E70" s="8" t="n">
        <v>2488.8</v>
      </c>
      <c r="F70" s="8" t="n">
        <v>497.76</v>
      </c>
      <c r="G70" s="8" t="n">
        <v>2986.56</v>
      </c>
    </row>
    <row r="71" ht="15.8" customHeight="1">
      <c r="A71" s="9" t="inlineStr">
        <is>
          <t xml:space="preserve">    Sous-total — Chaufferie</t>
        </is>
      </c>
      <c r="E71" s="10">
        <f>SUM(E69:E70)</f>
        <v/>
      </c>
      <c r="F71" s="10">
        <f>SUM(F69:F70)</f>
        <v/>
      </c>
      <c r="G71" s="10">
        <f>SUM(G69:G70)</f>
        <v/>
      </c>
    </row>
    <row r="72" ht="18" customHeight="1">
      <c r="A72" s="5" t="inlineStr">
        <is>
          <t xml:space="preserve">  Désenfumage</t>
        </is>
      </c>
    </row>
    <row r="73" ht="15.05" customHeight="1">
      <c r="A73" s="6" t="inlineStr">
        <is>
          <t>IDEA</t>
        </is>
      </c>
      <c r="B73" s="7" t="n">
        <v>45713</v>
      </c>
      <c r="C73" s="6" t="inlineStr">
        <is>
          <t>25020037</t>
        </is>
      </c>
      <c r="D73" s="6" t="inlineStr">
        <is>
          <t>Bât 2 - Entretien désenfumage 2025</t>
        </is>
      </c>
      <c r="E73" s="8" t="n">
        <v>3978</v>
      </c>
      <c r="F73" s="8" t="n">
        <v>795.6</v>
      </c>
      <c r="G73" s="8" t="n">
        <v>4773.6</v>
      </c>
    </row>
    <row r="74" ht="15.8" customHeight="1">
      <c r="A74" s="9" t="inlineStr">
        <is>
          <t xml:space="preserve">    Sous-total — Désenfumage</t>
        </is>
      </c>
      <c r="E74" s="10">
        <f>SUM(E73:E73)</f>
        <v/>
      </c>
      <c r="F74" s="10">
        <f>SUM(F73:F73)</f>
        <v/>
      </c>
      <c r="G74" s="10">
        <f>SUM(G73:G73)</f>
        <v/>
      </c>
    </row>
    <row r="75" ht="18" customHeight="1">
      <c r="A75" s="5" t="inlineStr">
        <is>
          <t xml:space="preserve">  Espaces verts</t>
        </is>
      </c>
    </row>
    <row r="76" ht="15.05" customHeight="1">
      <c r="A76" s="6" t="inlineStr">
        <is>
          <t>MUGO</t>
        </is>
      </c>
      <c r="B76" s="7" t="n">
        <v>45688</v>
      </c>
      <c r="C76" s="6" t="inlineStr">
        <is>
          <t>MP25010165</t>
        </is>
      </c>
      <c r="D76" s="6" t="inlineStr">
        <is>
          <t>Bât 2 - Entretien espaces verts - 1er Trimestre</t>
        </is>
      </c>
      <c r="E76" s="8" t="n">
        <v>2920.32</v>
      </c>
      <c r="F76" s="8" t="n">
        <v>584.0599999999999</v>
      </c>
      <c r="G76" s="8" t="n">
        <v>3504.38</v>
      </c>
    </row>
    <row r="77" ht="15.05" customHeight="1">
      <c r="A77" s="6" t="inlineStr">
        <is>
          <t>MUGO</t>
        </is>
      </c>
      <c r="B77" s="7" t="n">
        <v>45775</v>
      </c>
      <c r="C77" s="6" t="inlineStr">
        <is>
          <t>MP25041932</t>
        </is>
      </c>
      <c r="D77" s="6" t="inlineStr">
        <is>
          <t>Bât 2 - Entretien espaces verts - Avril</t>
        </is>
      </c>
      <c r="E77" s="8" t="n">
        <v>973.4400000000001</v>
      </c>
      <c r="F77" s="8" t="n">
        <v>194.69</v>
      </c>
      <c r="G77" s="8" t="n">
        <v>1168.13</v>
      </c>
    </row>
    <row r="78" ht="15.05" customHeight="1">
      <c r="A78" s="6" t="inlineStr">
        <is>
          <t>MUGO</t>
        </is>
      </c>
      <c r="B78" s="7" t="n">
        <v>45805</v>
      </c>
      <c r="C78" s="6" t="inlineStr">
        <is>
          <t>MP25052467</t>
        </is>
      </c>
      <c r="D78" s="6" t="inlineStr">
        <is>
          <t>Bât 2 - Entretien espaces verts - Mai &amp; Juin</t>
        </is>
      </c>
      <c r="E78" s="8" t="n">
        <v>1946.88</v>
      </c>
      <c r="F78" s="8" t="n">
        <v>389.38</v>
      </c>
      <c r="G78" s="8" t="n">
        <v>2336.26</v>
      </c>
    </row>
    <row r="79" ht="15.05" customHeight="1">
      <c r="A79" s="6" t="inlineStr">
        <is>
          <t>MUGO</t>
        </is>
      </c>
      <c r="B79" s="7" t="n">
        <v>45869</v>
      </c>
      <c r="C79" s="6" t="inlineStr">
        <is>
          <t>MP25073698</t>
        </is>
      </c>
      <c r="D79" s="6" t="inlineStr">
        <is>
          <t>Bât 2 - Entretien espaces verts - 3e Trimestre</t>
        </is>
      </c>
      <c r="E79" s="8" t="n">
        <v>2920.32</v>
      </c>
      <c r="F79" s="8" t="n">
        <v>584.0599999999999</v>
      </c>
      <c r="G79" s="8" t="n">
        <v>3504.38</v>
      </c>
    </row>
    <row r="80" ht="15.05" customHeight="1">
      <c r="A80" s="6" t="inlineStr">
        <is>
          <t>MUGO</t>
        </is>
      </c>
      <c r="B80" s="7" t="n">
        <v>45959</v>
      </c>
      <c r="C80" s="6" t="inlineStr">
        <is>
          <t>MP25105254</t>
        </is>
      </c>
      <c r="D80" s="6" t="inlineStr">
        <is>
          <t>Bât 2 - Entretien espaces verts - 4e Trimestre</t>
        </is>
      </c>
      <c r="E80" s="8" t="n">
        <v>2920.32</v>
      </c>
      <c r="F80" s="8" t="n">
        <v>584.0599999999999</v>
      </c>
      <c r="G80" s="8" t="n">
        <v>3504.38</v>
      </c>
    </row>
    <row r="81" ht="15.8" customHeight="1">
      <c r="A81" s="9" t="inlineStr">
        <is>
          <t xml:space="preserve">    Sous-total — Espaces verts</t>
        </is>
      </c>
      <c r="E81" s="10">
        <f>SUM(E76:E80)</f>
        <v/>
      </c>
      <c r="F81" s="10">
        <f>SUM(F76:F80)</f>
        <v/>
      </c>
      <c r="G81" s="10">
        <f>SUM(G76:G80)</f>
        <v/>
      </c>
    </row>
    <row r="82" ht="18" customHeight="1">
      <c r="A82" s="5" t="inlineStr">
        <is>
          <t xml:space="preserve">  Portails + Barrières automatiques</t>
        </is>
      </c>
    </row>
    <row r="83" ht="15.05" customHeight="1">
      <c r="A83" s="6" t="inlineStr">
        <is>
          <t>DIRICKX</t>
        </is>
      </c>
      <c r="B83" s="7" t="n">
        <v>45658</v>
      </c>
      <c r="C83" s="6" t="inlineStr">
        <is>
          <t>90694469</t>
        </is>
      </c>
      <c r="D83" s="6" t="inlineStr">
        <is>
          <t>Bât 2 - Entretien portail et barrières 2025</t>
        </is>
      </c>
      <c r="E83" s="8" t="n">
        <v>1993.75</v>
      </c>
      <c r="F83" s="8" t="n">
        <v>398.75</v>
      </c>
      <c r="G83" s="8" t="n">
        <v>2392.5</v>
      </c>
    </row>
    <row r="84" ht="15.8" customHeight="1">
      <c r="A84" s="9" t="inlineStr">
        <is>
          <t xml:space="preserve">    Sous-total — Portails + Barrières automatiques</t>
        </is>
      </c>
      <c r="E84" s="10">
        <f>SUM(E83:E83)</f>
        <v/>
      </c>
      <c r="F84" s="10">
        <f>SUM(F83:F83)</f>
        <v/>
      </c>
      <c r="G84" s="10">
        <f>SUM(G83:G83)</f>
        <v/>
      </c>
    </row>
    <row r="85" ht="18" customHeight="1">
      <c r="A85" s="5" t="inlineStr">
        <is>
          <t xml:space="preserve">  Portes Coupe-Feu</t>
        </is>
      </c>
    </row>
    <row r="86" ht="15.05" customHeight="1">
      <c r="A86" s="6" t="inlineStr">
        <is>
          <t>FIVO</t>
        </is>
      </c>
      <c r="B86" s="7" t="n">
        <v>45733</v>
      </c>
      <c r="C86" s="6" t="inlineStr">
        <is>
          <t>FACT04112</t>
        </is>
      </c>
      <c r="D86" s="6" t="inlineStr">
        <is>
          <t>Bât 2 - Entretien PCF 2025</t>
        </is>
      </c>
      <c r="E86" s="8" t="n">
        <v>2068.74</v>
      </c>
      <c r="F86" s="8" t="n">
        <v>413.75</v>
      </c>
      <c r="G86" s="8" t="n">
        <v>2482.49</v>
      </c>
    </row>
    <row r="87" ht="15.8" customHeight="1">
      <c r="A87" s="9" t="inlineStr">
        <is>
          <t xml:space="preserve">    Sous-total — Portes Coupe-Feu</t>
        </is>
      </c>
      <c r="E87" s="10">
        <f>SUM(E86:E86)</f>
        <v/>
      </c>
      <c r="F87" s="10">
        <f>SUM(F86:F86)</f>
        <v/>
      </c>
      <c r="G87" s="10">
        <f>SUM(G86:G86)</f>
        <v/>
      </c>
    </row>
    <row r="88" ht="18" customHeight="1">
      <c r="A88" s="5" t="inlineStr">
        <is>
          <t xml:space="preserve">  Protection foudre</t>
        </is>
      </c>
    </row>
    <row r="89" ht="15.05" customHeight="1">
      <c r="A89" s="6" t="inlineStr">
        <is>
          <t>1G FOUDRE</t>
        </is>
      </c>
      <c r="B89" s="7" t="n">
        <v>45688</v>
      </c>
      <c r="C89" s="6" t="inlineStr">
        <is>
          <t>F2501-0031</t>
        </is>
      </c>
      <c r="D89" s="6" t="inlineStr">
        <is>
          <t>Bât 2 - Entretien protection foudre complète 2025</t>
        </is>
      </c>
      <c r="E89" s="8" t="n">
        <v>1150</v>
      </c>
      <c r="F89" s="8" t="n">
        <v>230</v>
      </c>
      <c r="G89" s="8" t="n">
        <v>1380</v>
      </c>
    </row>
    <row r="90" ht="15.8" customHeight="1">
      <c r="A90" s="9" t="inlineStr">
        <is>
          <t xml:space="preserve">    Sous-total — Protection foudre</t>
        </is>
      </c>
      <c r="E90" s="10">
        <f>SUM(E89:E89)</f>
        <v/>
      </c>
      <c r="F90" s="10">
        <f>SUM(F89:F89)</f>
        <v/>
      </c>
      <c r="G90" s="10">
        <f>SUM(G89:G89)</f>
        <v/>
      </c>
    </row>
    <row r="91" ht="18" customHeight="1">
      <c r="A91" s="5" t="inlineStr">
        <is>
          <t xml:space="preserve">  Quais &amp; Portes sectionnelles</t>
        </is>
      </c>
    </row>
    <row r="92" ht="15.05" customHeight="1">
      <c r="A92" s="6" t="inlineStr">
        <is>
          <t>PROQUAI</t>
        </is>
      </c>
      <c r="B92" s="7" t="n">
        <v>45828</v>
      </c>
      <c r="C92" s="6" t="inlineStr">
        <is>
          <t>PAFC004643</t>
        </is>
      </c>
      <c r="D92" s="6" t="inlineStr">
        <is>
          <t>Bât 2 - Entretien quais niveleurs &amp; portes sectionnelles 2025</t>
        </is>
      </c>
      <c r="E92" s="8" t="n">
        <v>5397</v>
      </c>
      <c r="F92" s="8" t="n">
        <v>1079.4</v>
      </c>
      <c r="G92" s="8" t="n">
        <v>6476.4</v>
      </c>
    </row>
    <row r="93" ht="15.8" customHeight="1">
      <c r="A93" s="9" t="inlineStr">
        <is>
          <t xml:space="preserve">    Sous-total — Quais &amp; Portes sectionnelles</t>
        </is>
      </c>
      <c r="E93" s="10">
        <f>SUM(E92:E92)</f>
        <v/>
      </c>
      <c r="F93" s="10">
        <f>SUM(F92:F92)</f>
        <v/>
      </c>
      <c r="G93" s="10">
        <f>SUM(G92:G92)</f>
        <v/>
      </c>
    </row>
    <row r="94" ht="18" customHeight="1">
      <c r="A94" s="5" t="inlineStr">
        <is>
          <t xml:space="preserve">  Séparateur hydro.</t>
        </is>
      </c>
    </row>
    <row r="95" ht="15.05" customHeight="1">
      <c r="A95" s="6" t="inlineStr">
        <is>
          <t>A3 SERVICES</t>
        </is>
      </c>
      <c r="B95" s="7" t="n">
        <v>45979</v>
      </c>
      <c r="C95" s="6" t="inlineStr">
        <is>
          <t>F0005252</t>
        </is>
      </c>
      <c r="D95" s="6" t="inlineStr">
        <is>
          <t>Bât 2 - Entretien séparateur hydro. station relevage et disconnecteur</t>
        </is>
      </c>
      <c r="E95" s="8" t="n">
        <v>3536.4</v>
      </c>
      <c r="F95" s="8" t="n">
        <v>707.28</v>
      </c>
      <c r="G95" s="8" t="n">
        <v>4243.68</v>
      </c>
    </row>
    <row r="96" ht="15.8" customHeight="1">
      <c r="A96" s="9" t="inlineStr">
        <is>
          <t xml:space="preserve">    Sous-total — Séparateur hydro.</t>
        </is>
      </c>
      <c r="E96" s="10">
        <f>SUM(E95:E95)</f>
        <v/>
      </c>
      <c r="F96" s="10">
        <f>SUM(F95:F95)</f>
        <v/>
      </c>
      <c r="G96" s="10">
        <f>SUM(G95:G95)</f>
        <v/>
      </c>
    </row>
    <row r="97" ht="18" customHeight="1">
      <c r="A97" s="5" t="inlineStr">
        <is>
          <t xml:space="preserve">  Sprinklers - RIA - PI - Fioul</t>
        </is>
      </c>
    </row>
    <row r="98" ht="15.05" customHeight="1">
      <c r="A98" s="6" t="inlineStr">
        <is>
          <t>AAI</t>
        </is>
      </c>
      <c r="B98" s="7" t="n">
        <v>45709</v>
      </c>
      <c r="C98" s="6" t="inlineStr">
        <is>
          <t>90113537</t>
        </is>
      </c>
      <c r="D98" s="6" t="inlineStr">
        <is>
          <t>Bât 2 - Entretien SPK - RIA - PI + Fioul - 1 Trim 2025</t>
        </is>
      </c>
      <c r="E98" s="8" t="n">
        <v>7428.14</v>
      </c>
      <c r="F98" s="8" t="n">
        <v>1485.63</v>
      </c>
      <c r="G98" s="8" t="n">
        <v>8913.77</v>
      </c>
    </row>
    <row r="99" ht="15.05" customHeight="1">
      <c r="A99" s="6" t="inlineStr">
        <is>
          <t>AAI</t>
        </is>
      </c>
      <c r="B99" s="7" t="n">
        <v>45790</v>
      </c>
      <c r="C99" s="6" t="inlineStr">
        <is>
          <t>90117464</t>
        </is>
      </c>
      <c r="D99" s="6" t="inlineStr">
        <is>
          <t>Bât 2 - Entretien SPK - RIA - PI + Fioul - 2 Trim 2025</t>
        </is>
      </c>
      <c r="E99" s="8" t="n">
        <v>7428.14</v>
      </c>
      <c r="F99" s="8" t="n">
        <v>1485.63</v>
      </c>
      <c r="G99" s="8" t="n">
        <v>8913.77</v>
      </c>
    </row>
    <row r="100" ht="15.05" customHeight="1">
      <c r="A100" s="6" t="inlineStr">
        <is>
          <t>AAI</t>
        </is>
      </c>
      <c r="B100" s="7" t="n">
        <v>45870</v>
      </c>
      <c r="C100" s="6" t="inlineStr">
        <is>
          <t>90121899</t>
        </is>
      </c>
      <c r="D100" s="6" t="inlineStr">
        <is>
          <t>Bât 2 - Entretien SPK - RIA - PI + Fioul - 3 Trim 2025</t>
        </is>
      </c>
      <c r="E100" s="8" t="n">
        <v>7428.14</v>
      </c>
      <c r="F100" s="8" t="n">
        <v>1485.63</v>
      </c>
      <c r="G100" s="8" t="n">
        <v>8913.77</v>
      </c>
    </row>
    <row r="101" ht="15.05" customHeight="1">
      <c r="A101" s="6" t="inlineStr">
        <is>
          <t>AAI</t>
        </is>
      </c>
      <c r="B101" s="7" t="n">
        <v>45938</v>
      </c>
      <c r="C101" s="6" t="inlineStr">
        <is>
          <t>90124955</t>
        </is>
      </c>
      <c r="D101" s="6" t="inlineStr">
        <is>
          <t>Bât 2 - Entretien SPK - RIA - PI + Fioul - 4 Trim 2025</t>
        </is>
      </c>
      <c r="E101" s="8" t="n">
        <v>7428.14</v>
      </c>
      <c r="F101" s="8" t="n">
        <v>1485.63</v>
      </c>
      <c r="G101" s="8" t="n">
        <v>8913.77</v>
      </c>
    </row>
    <row r="102" ht="15.8" customHeight="1">
      <c r="A102" s="9" t="inlineStr">
        <is>
          <t xml:space="preserve">    Sous-total — Sprinklers - RIA - PI - Fioul</t>
        </is>
      </c>
      <c r="E102" s="10">
        <f>SUM(E98:E101)</f>
        <v/>
      </c>
      <c r="F102" s="10">
        <f>SUM(F98:F101)</f>
        <v/>
      </c>
      <c r="G102" s="10">
        <f>SUM(G98:G101)</f>
        <v/>
      </c>
    </row>
    <row r="103" ht="18" customHeight="1">
      <c r="A103" s="5" t="inlineStr">
        <is>
          <t xml:space="preserve">  SSI</t>
        </is>
      </c>
    </row>
    <row r="104" ht="15.05" customHeight="1">
      <c r="A104" s="6" t="inlineStr">
        <is>
          <t>SMGE</t>
        </is>
      </c>
      <c r="B104" s="7" t="n">
        <v>45929</v>
      </c>
      <c r="C104" s="6" t="inlineStr">
        <is>
          <t>F250933-1</t>
        </is>
      </c>
      <c r="D104" s="6" t="inlineStr">
        <is>
          <t>Bât 2 - Entretien SSI - 1er semestre 2025</t>
        </is>
      </c>
      <c r="E104" s="8" t="n">
        <v>3455.06</v>
      </c>
      <c r="F104" s="8" t="n">
        <v>691.01</v>
      </c>
      <c r="G104" s="8" t="n">
        <v>4146.07</v>
      </c>
    </row>
    <row r="105" ht="15.8" customHeight="1">
      <c r="A105" s="9" t="inlineStr">
        <is>
          <t xml:space="preserve">    Sous-total — SSI</t>
        </is>
      </c>
      <c r="E105" s="10">
        <f>SUM(E104:E104)</f>
        <v/>
      </c>
      <c r="F105" s="10">
        <f>SUM(F104:F104)</f>
        <v/>
      </c>
      <c r="G105" s="10">
        <f>SUM(G104:G104)</f>
        <v/>
      </c>
    </row>
    <row r="106" ht="18" customHeight="1">
      <c r="A106" s="5" t="inlineStr">
        <is>
          <t xml:space="preserve">  Télésurveillance</t>
        </is>
      </c>
    </row>
    <row r="107" ht="15.05" customHeight="1">
      <c r="A107" s="6" t="inlineStr">
        <is>
          <t>BAUWATCH</t>
        </is>
      </c>
      <c r="B107" s="7" t="n">
        <v>45687</v>
      </c>
      <c r="C107" s="6" t="inlineStr">
        <is>
          <t>9650-104359</t>
        </is>
      </c>
      <c r="D107" s="6" t="inlineStr">
        <is>
          <t>Bât 2 - Télésurveillance - Location 2 tours caméra - Janvier 2025</t>
        </is>
      </c>
      <c r="E107" s="8" t="n">
        <v>1815.98</v>
      </c>
      <c r="F107" s="8" t="n">
        <v>363.2</v>
      </c>
      <c r="G107" s="8" t="n">
        <v>2179.18</v>
      </c>
    </row>
    <row r="108" ht="15.05" customHeight="1">
      <c r="A108" s="6" t="inlineStr">
        <is>
          <t>BAUWATCH</t>
        </is>
      </c>
      <c r="B108" s="7" t="n">
        <v>45715</v>
      </c>
      <c r="C108" s="6" t="inlineStr">
        <is>
          <t>9650-104711</t>
        </is>
      </c>
      <c r="D108" s="6" t="inlineStr">
        <is>
          <t>Bât 2 - Télésurveillance - Location 2 tours caméra - Février 2025</t>
        </is>
      </c>
      <c r="E108" s="8" t="n">
        <v>1640.24</v>
      </c>
      <c r="F108" s="8" t="n">
        <v>328.05</v>
      </c>
      <c r="G108" s="8" t="n">
        <v>1968.29</v>
      </c>
    </row>
    <row r="109" ht="15.05" customHeight="1">
      <c r="A109" s="6" t="inlineStr">
        <is>
          <t>BAUWATCH</t>
        </is>
      </c>
      <c r="B109" s="7" t="n">
        <v>45744</v>
      </c>
      <c r="C109" s="6" t="inlineStr">
        <is>
          <t>9650-105261</t>
        </is>
      </c>
      <c r="D109" s="6" t="inlineStr">
        <is>
          <t>Bât 2 - Télésurveillance - Location 2 tours caméra - Mars 2025</t>
        </is>
      </c>
      <c r="E109" s="8" t="n">
        <v>1815.98</v>
      </c>
      <c r="F109" s="8" t="n">
        <v>363.2</v>
      </c>
      <c r="G109" s="8" t="n">
        <v>2179.18</v>
      </c>
    </row>
    <row r="110" ht="15.05" customHeight="1">
      <c r="A110" s="6" t="inlineStr">
        <is>
          <t>BAUWATCH</t>
        </is>
      </c>
      <c r="B110" s="7" t="n">
        <v>45777</v>
      </c>
      <c r="C110" s="6" t="inlineStr">
        <is>
          <t>9650-105488</t>
        </is>
      </c>
      <c r="D110" s="6" t="inlineStr">
        <is>
          <t>Bât 2 - Télésurveillance - Location 2 tours caméra - Avril 2025</t>
        </is>
      </c>
      <c r="E110" s="8" t="n">
        <v>1757.4</v>
      </c>
      <c r="F110" s="8" t="n">
        <v>351.48</v>
      </c>
      <c r="G110" s="8" t="n">
        <v>2108.88</v>
      </c>
    </row>
    <row r="111" ht="15.05" customHeight="1">
      <c r="A111" s="6" t="inlineStr">
        <is>
          <t>BAUWATCH</t>
        </is>
      </c>
      <c r="B111" s="7" t="n">
        <v>45807</v>
      </c>
      <c r="C111" s="6" t="inlineStr">
        <is>
          <t>9650-106190</t>
        </is>
      </c>
      <c r="D111" s="6" t="inlineStr">
        <is>
          <t>Bât 2 - Télésurveillance - Location 2 tours caméra - Mai 2025</t>
        </is>
      </c>
      <c r="E111" s="8" t="n">
        <v>1815.98</v>
      </c>
      <c r="F111" s="8" t="n">
        <v>363.2</v>
      </c>
      <c r="G111" s="8" t="n">
        <v>2179.18</v>
      </c>
    </row>
    <row r="112" ht="15.05" customHeight="1">
      <c r="A112" s="6" t="inlineStr">
        <is>
          <t>BAUWATCH</t>
        </is>
      </c>
      <c r="B112" s="7" t="n">
        <v>45838</v>
      </c>
      <c r="C112" s="6" t="inlineStr">
        <is>
          <t>9650-106624</t>
        </is>
      </c>
      <c r="D112" s="6" t="inlineStr">
        <is>
          <t>Bât 2 - Télésurveillance - Location 2 tours caméra - Juin 2025</t>
        </is>
      </c>
      <c r="E112" s="8" t="n">
        <v>1757.4</v>
      </c>
      <c r="F112" s="8" t="n">
        <v>351.48</v>
      </c>
      <c r="G112" s="8" t="n">
        <v>2108.88</v>
      </c>
    </row>
    <row r="113" ht="15.05" customHeight="1">
      <c r="A113" s="6" t="inlineStr">
        <is>
          <t>BAUWATCH</t>
        </is>
      </c>
      <c r="B113" s="7" t="n">
        <v>45869</v>
      </c>
      <c r="C113" s="6" t="inlineStr">
        <is>
          <t>9650-107073</t>
        </is>
      </c>
      <c r="D113" s="6" t="inlineStr">
        <is>
          <t>Bât 2 - Télésurveillance - Location 2 tours caméra - Juillet 2025</t>
        </is>
      </c>
      <c r="E113" s="8" t="n">
        <v>1815.98</v>
      </c>
      <c r="F113" s="8" t="n">
        <v>363.2</v>
      </c>
      <c r="G113" s="8" t="n">
        <v>2179.18</v>
      </c>
    </row>
    <row r="114" ht="15.05" customHeight="1">
      <c r="A114" s="6" t="inlineStr">
        <is>
          <t>BAUWATCH</t>
        </is>
      </c>
      <c r="B114" s="7" t="n">
        <v>45898</v>
      </c>
      <c r="C114" s="6" t="inlineStr">
        <is>
          <t>9650-107566</t>
        </is>
      </c>
      <c r="D114" s="6" t="inlineStr">
        <is>
          <t>Bât 2 - Télésurveillance - Location 2 tours caméra - Août 2025</t>
        </is>
      </c>
      <c r="E114" s="8" t="n">
        <v>1815.98</v>
      </c>
      <c r="F114" s="8" t="n">
        <v>363.2</v>
      </c>
      <c r="G114" s="8" t="n">
        <v>2179.18</v>
      </c>
    </row>
    <row r="115" ht="15.05" customHeight="1">
      <c r="A115" s="6" t="inlineStr">
        <is>
          <t>BAUWATCH</t>
        </is>
      </c>
      <c r="B115" s="7" t="n">
        <v>45930</v>
      </c>
      <c r="C115" s="6" t="inlineStr">
        <is>
          <t>9650-108083</t>
        </is>
      </c>
      <c r="D115" s="6" t="inlineStr">
        <is>
          <t>Bât 2 - Télésurveillance - Location 2 tours caméra - Setpembre 2025</t>
        </is>
      </c>
      <c r="E115" s="8" t="n">
        <v>1757.4</v>
      </c>
      <c r="F115" s="8" t="n">
        <v>351.48</v>
      </c>
      <c r="G115" s="8" t="n">
        <v>2108.88</v>
      </c>
    </row>
    <row r="116" ht="15.05" customHeight="1">
      <c r="A116" s="6" t="inlineStr">
        <is>
          <t>BAUWATCH</t>
        </is>
      </c>
      <c r="B116" s="7" t="n">
        <v>45961</v>
      </c>
      <c r="C116" s="6" t="inlineStr">
        <is>
          <t>9650-108593</t>
        </is>
      </c>
      <c r="D116" s="6" t="inlineStr">
        <is>
          <t>Bât 2 - Télésurveillance - Location 2 tours caméra - Octobre 2025</t>
        </is>
      </c>
      <c r="E116" s="8" t="n">
        <v>1815.98</v>
      </c>
      <c r="F116" s="8" t="n">
        <v>363.2</v>
      </c>
      <c r="G116" s="8" t="n">
        <v>2179.18</v>
      </c>
    </row>
    <row r="117" ht="15.05" customHeight="1">
      <c r="A117" s="6" t="inlineStr">
        <is>
          <t>BAUWATCH</t>
        </is>
      </c>
      <c r="B117" s="7" t="n">
        <v>45991</v>
      </c>
      <c r="C117" s="6" t="inlineStr">
        <is>
          <t>9650-109105</t>
        </is>
      </c>
      <c r="D117" s="6" t="inlineStr">
        <is>
          <t>Bât 2 - Télésurveillance - Location 2 tours caméra - Novembre 2025</t>
        </is>
      </c>
      <c r="E117" s="8" t="n">
        <v>1757.4</v>
      </c>
      <c r="F117" s="8" t="n">
        <v>351.48</v>
      </c>
      <c r="G117" s="8" t="n">
        <v>2108.88</v>
      </c>
    </row>
    <row r="118" ht="15.05" customHeight="1">
      <c r="A118" s="6" t="inlineStr">
        <is>
          <t>BAUWATCH</t>
        </is>
      </c>
      <c r="B118" s="7" t="n">
        <v>46022</v>
      </c>
      <c r="C118" s="6" t="inlineStr">
        <is>
          <t>9650-109639</t>
        </is>
      </c>
      <c r="D118" s="6" t="inlineStr">
        <is>
          <t>Bât 2 - Télésurveillance - Location 2 tours caméra - Décembre 2025</t>
        </is>
      </c>
      <c r="E118" s="8" t="n">
        <v>1815.98</v>
      </c>
      <c r="F118" s="8" t="n">
        <v>363.2</v>
      </c>
      <c r="G118" s="8" t="n">
        <v>2179.18</v>
      </c>
    </row>
    <row r="119" ht="15.8" customHeight="1">
      <c r="A119" s="9" t="inlineStr">
        <is>
          <t xml:space="preserve">    Sous-total — Télésurveillance</t>
        </is>
      </c>
      <c r="E119" s="10">
        <f>SUM(E107:E118)</f>
        <v/>
      </c>
      <c r="F119" s="10">
        <f>SUM(F107:F118)</f>
        <v/>
      </c>
      <c r="G119" s="10">
        <f>SUM(G107:G118)</f>
        <v/>
      </c>
    </row>
    <row r="120" ht="18" customHeight="1">
      <c r="A120" s="5" t="inlineStr">
        <is>
          <t xml:space="preserve">  Toiture</t>
        </is>
      </c>
    </row>
    <row r="121" ht="15.05" customHeight="1">
      <c r="A121" s="6" t="inlineStr">
        <is>
          <t>SOPREMA</t>
        </is>
      </c>
      <c r="B121" s="7" t="n">
        <v>45791</v>
      </c>
      <c r="C121" s="6" t="inlineStr">
        <is>
          <t>25.15.2.6206</t>
        </is>
      </c>
      <c r="D121" s="6" t="inlineStr">
        <is>
          <t>Bât 2 - Entretien toiture &amp; siphoïdes - 1 Semestre 2025</t>
        </is>
      </c>
      <c r="E121" s="8" t="n">
        <v>6765.4</v>
      </c>
      <c r="F121" s="8" t="n">
        <v>1353.08</v>
      </c>
      <c r="G121" s="8" t="n">
        <v>8118.48</v>
      </c>
    </row>
    <row r="122" ht="15.05" customHeight="1">
      <c r="A122" s="6" t="inlineStr">
        <is>
          <t>SOPREMA</t>
        </is>
      </c>
      <c r="B122" s="7" t="n">
        <v>45818</v>
      </c>
      <c r="C122" s="6" t="inlineStr">
        <is>
          <t>25.15.2.6262</t>
        </is>
      </c>
      <c r="D122" s="6" t="inlineStr">
        <is>
          <t>Bât 2 - Entretien toiture &amp; siphoïdes - 2 Semestre 2025</t>
        </is>
      </c>
      <c r="E122" s="8" t="n">
        <v>6574.58</v>
      </c>
      <c r="F122" s="8" t="n">
        <v>1314.92</v>
      </c>
      <c r="G122" s="8" t="n">
        <v>7889.5</v>
      </c>
    </row>
    <row r="123" ht="15.8" customHeight="1">
      <c r="A123" s="9" t="inlineStr">
        <is>
          <t xml:space="preserve">    Sous-total — Toiture</t>
        </is>
      </c>
      <c r="E123" s="10">
        <f>SUM(E121:E122)</f>
        <v/>
      </c>
      <c r="F123" s="10">
        <f>SUM(F121:F122)</f>
        <v/>
      </c>
      <c r="G123" s="10">
        <f>SUM(G121:G122)</f>
        <v/>
      </c>
    </row>
    <row r="124" ht="18" customHeight="1">
      <c r="A124" s="5" t="inlineStr">
        <is>
          <t xml:space="preserve">  Vérifications règlementaires</t>
        </is>
      </c>
    </row>
    <row r="125" ht="15.05" customHeight="1">
      <c r="A125" s="6" t="inlineStr">
        <is>
          <t>ALPES CONTROLES</t>
        </is>
      </c>
      <c r="B125" s="7" t="n">
        <v>45688</v>
      </c>
      <c r="C125" s="6" t="inlineStr">
        <is>
          <t>25A1600S</t>
        </is>
      </c>
      <c r="D125" s="6" t="inlineStr">
        <is>
          <t>Bât 2 - Vérification thermographie Q19</t>
        </is>
      </c>
      <c r="E125" s="8" t="n">
        <v>990</v>
      </c>
      <c r="F125" s="8" t="n">
        <v>198</v>
      </c>
      <c r="G125" s="8" t="n">
        <v>1188</v>
      </c>
    </row>
    <row r="126" ht="15.05" customHeight="1">
      <c r="A126" s="6" t="inlineStr">
        <is>
          <t>ALPES CONTROLES</t>
        </is>
      </c>
      <c r="B126" s="15" t="n"/>
      <c r="C126" s="6" t="inlineStr"/>
      <c r="D126" s="6" t="inlineStr">
        <is>
          <t>Bât 2 - Vérification installations élec Q18</t>
        </is>
      </c>
      <c r="E126" s="8" t="n">
        <v>2490</v>
      </c>
      <c r="F126" s="8" t="n">
        <v>498</v>
      </c>
      <c r="G126" s="8" t="n">
        <v>2988</v>
      </c>
    </row>
    <row r="127" ht="15.8" customHeight="1">
      <c r="A127" s="9" t="inlineStr">
        <is>
          <t xml:space="preserve">    Sous-total — Vérifications règlementaires</t>
        </is>
      </c>
      <c r="E127" s="10">
        <f>SUM(E125:E126)</f>
        <v/>
      </c>
      <c r="F127" s="10">
        <f>SUM(F125:F126)</f>
        <v/>
      </c>
      <c r="G127" s="10">
        <f>SUM(G125:G126)</f>
        <v/>
      </c>
    </row>
    <row r="128" ht="21.75" customHeight="1">
      <c r="A128" s="4" t="inlineStr">
        <is>
          <t>── TAXES ──</t>
        </is>
      </c>
    </row>
    <row r="129" ht="18" customHeight="1">
      <c r="A129" s="5" t="inlineStr">
        <is>
          <t xml:space="preserve">  Taxe Bureau &amp; Stationnement</t>
        </is>
      </c>
    </row>
    <row r="130" ht="15.05" customHeight="1">
      <c r="A130" s="6" t="inlineStr">
        <is>
          <t>TRESOR PUBLIC</t>
        </is>
      </c>
      <c r="B130" s="7" t="n">
        <v>45691</v>
      </c>
      <c r="C130" s="6" t="inlineStr">
        <is>
          <t>TB 25 BAT 1</t>
        </is>
      </c>
      <c r="D130" s="6" t="inlineStr">
        <is>
          <t>Bât 2 - Taxe Bureaux</t>
        </is>
      </c>
      <c r="E130" s="8" t="n">
        <v>54560</v>
      </c>
      <c r="F130" s="11" t="n"/>
      <c r="G130" s="8" t="n">
        <v>54560</v>
      </c>
    </row>
    <row r="131" ht="15.05" customHeight="1">
      <c r="A131" s="6" t="inlineStr">
        <is>
          <t>TRESOR PUBLIC</t>
        </is>
      </c>
      <c r="B131" s="7" t="n">
        <v>45691</v>
      </c>
      <c r="C131" s="6" t="inlineStr">
        <is>
          <t>TASS 25 BAT 1</t>
        </is>
      </c>
      <c r="D131" s="6" t="inlineStr">
        <is>
          <t xml:space="preserve">Bât 2 - Taxe Annuelle de Stationnement </t>
        </is>
      </c>
      <c r="E131" s="8" t="n">
        <v>6463</v>
      </c>
      <c r="F131" s="11" t="n"/>
      <c r="G131" s="8" t="n">
        <v>6463</v>
      </c>
    </row>
    <row r="132" ht="15.8" customHeight="1">
      <c r="A132" s="9" t="inlineStr">
        <is>
          <t xml:space="preserve">    Sous-total — Taxe Bureau &amp; Stationnement</t>
        </is>
      </c>
      <c r="E132" s="10">
        <f>SUM(E130:E131)</f>
        <v/>
      </c>
      <c r="F132" s="10">
        <f>SUM(F130:F131)</f>
        <v/>
      </c>
      <c r="G132" s="10">
        <f>SUM(G130:G131)</f>
        <v/>
      </c>
    </row>
    <row r="133" ht="21.75" customHeight="1">
      <c r="A133" s="4" t="inlineStr">
        <is>
          <t>── CHARGES NON RECUPERABLES ──</t>
        </is>
      </c>
    </row>
    <row r="134" ht="18" customHeight="1">
      <c r="A134" s="5" t="inlineStr">
        <is>
          <t xml:space="preserve">  Entretien Courant</t>
        </is>
      </c>
    </row>
    <row r="135" ht="15.05" customHeight="1">
      <c r="A135" s="6" t="inlineStr">
        <is>
          <t>ENEDIS</t>
        </is>
      </c>
      <c r="B135" s="7" t="n">
        <v>45698</v>
      </c>
      <c r="C135" s="6" t="inlineStr">
        <is>
          <t>0321-660620633</t>
        </is>
      </c>
      <c r="D135" s="6" t="inlineStr">
        <is>
          <t>Bât 2 - Pose PDL pour bornes electriques - solde</t>
        </is>
      </c>
      <c r="E135" s="8" t="n">
        <v>1419.9</v>
      </c>
      <c r="F135" s="8" t="n">
        <v>283.98</v>
      </c>
      <c r="G135" s="8" t="n">
        <v>1703.88</v>
      </c>
    </row>
    <row r="136" ht="15.05" customHeight="1">
      <c r="A136" s="6" t="inlineStr">
        <is>
          <t>APM</t>
        </is>
      </c>
      <c r="B136" s="7" t="n">
        <v>46000</v>
      </c>
      <c r="C136" s="6" t="inlineStr">
        <is>
          <t>FE3537</t>
        </is>
      </c>
      <c r="D136" s="6" t="inlineStr">
        <is>
          <t xml:space="preserve">Bât 2 - Changement de drapeaux </t>
        </is>
      </c>
      <c r="E136" s="8" t="n">
        <v>447.27</v>
      </c>
      <c r="F136" s="8" t="n">
        <v>89.45</v>
      </c>
      <c r="G136" s="8" t="n">
        <v>536.72</v>
      </c>
    </row>
    <row r="137" ht="15.05" customHeight="1">
      <c r="A137" s="6" t="inlineStr">
        <is>
          <t>IDEA</t>
        </is>
      </c>
      <c r="B137" s="7" t="n">
        <v>45952</v>
      </c>
      <c r="C137" s="6" t="inlineStr">
        <is>
          <t>25100039</t>
        </is>
      </c>
      <c r="D137" s="6" t="inlineStr">
        <is>
          <t>Bât 2 - Maintenance corrective</t>
        </is>
      </c>
      <c r="E137" s="8" t="n">
        <v>7089.58</v>
      </c>
      <c r="F137" s="8" t="n">
        <v>1417.92</v>
      </c>
      <c r="G137" s="8" t="n">
        <v>8507.5</v>
      </c>
    </row>
    <row r="138" ht="15.05" customHeight="1">
      <c r="A138" s="6" t="inlineStr">
        <is>
          <t>COSMONET</t>
        </is>
      </c>
      <c r="B138" s="7" t="n">
        <v>45777</v>
      </c>
      <c r="C138" s="6" t="inlineStr">
        <is>
          <t>202511545</t>
        </is>
      </c>
      <c r="D138" s="6" t="inlineStr">
        <is>
          <t>Bât 2 - Nettoyage bureaux et bout façade</t>
        </is>
      </c>
      <c r="E138" s="8" t="n">
        <v>1316</v>
      </c>
      <c r="F138" s="8" t="n">
        <v>263.2</v>
      </c>
      <c r="G138" s="8" t="n">
        <v>1579.2</v>
      </c>
    </row>
    <row r="139" ht="15.05" customHeight="1">
      <c r="A139" s="6" t="inlineStr">
        <is>
          <t>COSMONET</t>
        </is>
      </c>
      <c r="B139" s="7" t="n">
        <v>45991</v>
      </c>
      <c r="C139" s="6" t="inlineStr">
        <is>
          <t>202514172</t>
        </is>
      </c>
      <c r="D139" s="6" t="inlineStr">
        <is>
          <t xml:space="preserve">Bât 2 - Nettoyage extérieur </t>
        </is>
      </c>
      <c r="E139" s="8" t="n">
        <v>342</v>
      </c>
      <c r="F139" s="8" t="n">
        <v>68.40000000000001</v>
      </c>
      <c r="G139" s="8" t="n">
        <v>410.4</v>
      </c>
    </row>
    <row r="140" ht="15.05" customHeight="1">
      <c r="A140" s="6" t="inlineStr">
        <is>
          <t>DIRICKX</t>
        </is>
      </c>
      <c r="B140" s="7" t="n">
        <v>45989</v>
      </c>
      <c r="C140" s="6" t="inlineStr">
        <is>
          <t>90786608</t>
        </is>
      </c>
      <c r="D140" s="6" t="inlineStr">
        <is>
          <t xml:space="preserve">Bât 2 - Intervention détecteur 1 boucle </t>
        </is>
      </c>
      <c r="E140" s="8" t="n">
        <v>390.13</v>
      </c>
      <c r="F140" s="8" t="n">
        <v>78.03</v>
      </c>
      <c r="G140" s="8" t="n">
        <v>468.16</v>
      </c>
    </row>
    <row r="141" ht="15.05" customHeight="1">
      <c r="A141" s="6" t="inlineStr">
        <is>
          <t>DIRICKX</t>
        </is>
      </c>
      <c r="B141" s="7" t="n">
        <v>45982</v>
      </c>
      <c r="C141" s="6" t="inlineStr">
        <is>
          <t>90784757</t>
        </is>
      </c>
      <c r="D141" s="6" t="inlineStr">
        <is>
          <t>Bât 2 - Remise en service portail suite gens du voyage</t>
        </is>
      </c>
      <c r="E141" s="8" t="n">
        <v>718.33</v>
      </c>
      <c r="F141" s="8" t="n">
        <v>143.67</v>
      </c>
      <c r="G141" s="8" t="n">
        <v>862</v>
      </c>
    </row>
    <row r="142" ht="15.05" customHeight="1">
      <c r="A142" s="6" t="inlineStr">
        <is>
          <t>DIRICKX</t>
        </is>
      </c>
      <c r="B142" s="7" t="n">
        <v>46002</v>
      </c>
      <c r="C142" s="6" t="inlineStr">
        <is>
          <t>90789542</t>
        </is>
      </c>
      <c r="D142" s="6" t="inlineStr">
        <is>
          <t>Bât 2 - Remise en état portail pompier suite gens du voyage</t>
        </is>
      </c>
      <c r="E142" s="8" t="n">
        <v>643.2</v>
      </c>
      <c r="F142" s="8" t="n">
        <v>128.64</v>
      </c>
      <c r="G142" s="8" t="n">
        <v>771.84</v>
      </c>
    </row>
    <row r="143" ht="15.05" customHeight="1">
      <c r="A143" s="6" t="inlineStr">
        <is>
          <t>A3 SERVICES</t>
        </is>
      </c>
      <c r="B143" s="7" t="n">
        <v>46001</v>
      </c>
      <c r="C143" s="6" t="inlineStr">
        <is>
          <t>F0005298</t>
        </is>
      </c>
      <c r="D143" s="6" t="inlineStr">
        <is>
          <t>Bât 2 - Remplacement pompe relevage</t>
        </is>
      </c>
      <c r="E143" s="8" t="n">
        <v>5798</v>
      </c>
      <c r="F143" s="8" t="n">
        <v>1159.6</v>
      </c>
      <c r="G143" s="8" t="n">
        <v>6957.6</v>
      </c>
    </row>
    <row r="144" ht="15.05" customHeight="1">
      <c r="A144" s="6" t="inlineStr">
        <is>
          <t>A3 SERVICES</t>
        </is>
      </c>
      <c r="B144" s="7" t="n">
        <v>46015</v>
      </c>
      <c r="C144" s="6" t="inlineStr">
        <is>
          <t>F0005303</t>
        </is>
      </c>
      <c r="D144" s="6" t="inlineStr">
        <is>
          <t>Bât 2 - Curage des réseaux EU et EP voirie  suite gens du voyage</t>
        </is>
      </c>
      <c r="E144" s="8" t="n">
        <v>3700</v>
      </c>
      <c r="F144" s="8" t="n">
        <v>740</v>
      </c>
      <c r="G144" s="8" t="n">
        <v>4440</v>
      </c>
    </row>
    <row r="145" ht="15.05" customHeight="1">
      <c r="A145" s="6" t="inlineStr">
        <is>
          <t>SMGE</t>
        </is>
      </c>
      <c r="B145" s="7" t="n">
        <v>45995</v>
      </c>
      <c r="C145" s="6" t="inlineStr">
        <is>
          <t>F251203</t>
        </is>
      </c>
      <c r="D145" s="6" t="inlineStr">
        <is>
          <t>Bât 2 - Dépannage électrique suite gens du voyage</t>
        </is>
      </c>
      <c r="E145" s="8" t="n">
        <v>405</v>
      </c>
      <c r="F145" s="8" t="n">
        <v>81</v>
      </c>
      <c r="G145" s="8" t="n">
        <v>486</v>
      </c>
    </row>
    <row r="146" ht="15.05" customHeight="1">
      <c r="A146" s="6" t="inlineStr">
        <is>
          <t>SMGE</t>
        </is>
      </c>
      <c r="B146" s="7" t="n">
        <v>46001</v>
      </c>
      <c r="C146" s="6" t="inlineStr">
        <is>
          <t>F251207</t>
        </is>
      </c>
      <c r="D146" s="6" t="inlineStr">
        <is>
          <t>Bât 2 - Remise sous tension caméras et 4 portails  suite gens du voyage</t>
        </is>
      </c>
      <c r="E146" s="8" t="n">
        <v>370</v>
      </c>
      <c r="F146" s="8" t="n">
        <v>74</v>
      </c>
      <c r="G146" s="8" t="n">
        <v>444</v>
      </c>
    </row>
    <row r="147" ht="15.05" customHeight="1">
      <c r="A147" s="6" t="inlineStr">
        <is>
          <t>IGOR SECURITE</t>
        </is>
      </c>
      <c r="B147" s="7" t="n">
        <v>45991</v>
      </c>
      <c r="C147" s="6" t="inlineStr">
        <is>
          <t>FA20252560</t>
        </is>
      </c>
      <c r="D147" s="6" t="inlineStr">
        <is>
          <t>Bât 2 - Gardiennage du 14 au 26/11/25</t>
        </is>
      </c>
      <c r="E147" s="8" t="n">
        <v>10771.75</v>
      </c>
      <c r="F147" s="8" t="n">
        <v>2154.35</v>
      </c>
      <c r="G147" s="8" t="n">
        <v>12926.1</v>
      </c>
    </row>
    <row r="148" ht="15.8" customHeight="1">
      <c r="A148" s="9" t="inlineStr">
        <is>
          <t xml:space="preserve">    Sous-total — Entretien Courant</t>
        </is>
      </c>
      <c r="E148" s="10">
        <f>SUM(E135:E147)</f>
        <v/>
      </c>
      <c r="F148" s="10">
        <f>SUM(F135:F147)</f>
        <v/>
      </c>
      <c r="G148" s="10">
        <f>SUM(G135:G147)</f>
        <v/>
      </c>
    </row>
    <row r="149" ht="18" customHeight="1">
      <c r="A149" s="5" t="inlineStr">
        <is>
          <t xml:space="preserve">  Honoraires Huissiers</t>
        </is>
      </c>
    </row>
    <row r="150" ht="15.05" customHeight="1">
      <c r="A150" s="6" t="inlineStr">
        <is>
          <t>C-JUSTICE</t>
        </is>
      </c>
      <c r="B150" s="7" t="n">
        <v>45925</v>
      </c>
      <c r="C150" s="6" t="inlineStr">
        <is>
          <t>25.09.4272</t>
        </is>
      </c>
      <c r="D150" s="6" t="inlineStr">
        <is>
          <t>Bât 2 - PV Constat - EDL Toiture</t>
        </is>
      </c>
      <c r="E150" s="8" t="n">
        <v>1000</v>
      </c>
      <c r="F150" s="8" t="n">
        <v>200</v>
      </c>
      <c r="G150" s="8" t="n">
        <v>1200</v>
      </c>
    </row>
    <row r="151" ht="15.05" customHeight="1">
      <c r="A151" s="6" t="inlineStr">
        <is>
          <t>C-JUSTICE</t>
        </is>
      </c>
      <c r="B151" s="7" t="n">
        <v>45980</v>
      </c>
      <c r="C151" s="6" t="inlineStr">
        <is>
          <t>25.11.5229</t>
        </is>
      </c>
      <c r="D151" s="6" t="inlineStr">
        <is>
          <t>Bât 2 - PV Constat - 50% EDLE du 07/11 Delisle</t>
        </is>
      </c>
      <c r="E151" s="8" t="n">
        <v>300</v>
      </c>
      <c r="F151" s="8" t="n">
        <v>60</v>
      </c>
      <c r="G151" s="8" t="n">
        <v>360</v>
      </c>
    </row>
    <row r="152" ht="15.05" customHeight="1">
      <c r="A152" s="6" t="inlineStr">
        <is>
          <t>C-JUSTICE</t>
        </is>
      </c>
      <c r="B152" s="7" t="n">
        <v>45975</v>
      </c>
      <c r="C152" s="6" t="inlineStr">
        <is>
          <t>25.11.5142</t>
        </is>
      </c>
      <c r="D152" s="6" t="inlineStr">
        <is>
          <t>Bât 2 - PV Constat - Occupation gens du voyage</t>
        </is>
      </c>
      <c r="E152" s="8" t="n">
        <v>1000</v>
      </c>
      <c r="F152" s="8" t="n">
        <v>200</v>
      </c>
      <c r="G152" s="8" t="n">
        <v>1200</v>
      </c>
    </row>
    <row r="153" ht="15.05" customHeight="1">
      <c r="A153" s="6" t="inlineStr">
        <is>
          <t>CJCE</t>
        </is>
      </c>
      <c r="B153" s="7" t="n">
        <v>45997</v>
      </c>
      <c r="C153" s="6" t="inlineStr">
        <is>
          <t>25-15258</t>
        </is>
      </c>
      <c r="D153" s="6" t="inlineStr">
        <is>
          <t>Bât 2 - PV Constat - 50% EDLE du 25/11 SHAOKE</t>
        </is>
      </c>
      <c r="E153" s="8" t="n">
        <v>400</v>
      </c>
      <c r="F153" s="8" t="n">
        <v>80</v>
      </c>
      <c r="G153" s="8" t="n">
        <v>480</v>
      </c>
    </row>
    <row r="154" ht="15.8" customHeight="1">
      <c r="A154" s="9" t="inlineStr">
        <is>
          <t xml:space="preserve">    Sous-total — Honoraires Huissiers</t>
        </is>
      </c>
      <c r="E154" s="10">
        <f>SUM(E150:E153)</f>
        <v/>
      </c>
      <c r="F154" s="10">
        <f>SUM(F150:F153)</f>
        <v/>
      </c>
      <c r="G154" s="10">
        <f>SUM(G150:G153)</f>
        <v/>
      </c>
    </row>
    <row r="155" ht="6" customHeight="1"/>
    <row r="156" ht="19.55" customHeight="1">
      <c r="A156" s="5" t="inlineStr">
        <is>
          <t>TOTAL — CHARGES NON RÉCUPÉRABLES</t>
        </is>
      </c>
      <c r="E156" s="12">
        <f>E148+E154</f>
        <v/>
      </c>
    </row>
    <row r="157" ht="6" customHeight="1"/>
    <row r="158" ht="25.55" customHeight="1">
      <c r="A158" s="13" t="inlineStr">
        <is>
          <t>TOTAL GÉNÉRAL — CHARGES RÉCUPÉRABLES</t>
        </is>
      </c>
      <c r="E158" s="14">
        <f>E8+E12+E26+E40+E45+E63+E67+E71+E74+E81+E84+E87+E90+E93+E96+E102+E105+E119+E123+E127+E132</f>
        <v/>
      </c>
    </row>
  </sheetData>
  <mergeCells count="33">
    <mergeCell ref="A8:D8"/>
    <mergeCell ref="A96:D96"/>
    <mergeCell ref="A4:G4"/>
    <mergeCell ref="A81:D81"/>
    <mergeCell ref="A156:D156"/>
    <mergeCell ref="A63:D63"/>
    <mergeCell ref="A93:D93"/>
    <mergeCell ref="A102:D102"/>
    <mergeCell ref="A40:D40"/>
    <mergeCell ref="A67:D67"/>
    <mergeCell ref="A127:D127"/>
    <mergeCell ref="A148:D148"/>
    <mergeCell ref="A64:G64"/>
    <mergeCell ref="A123:D123"/>
    <mergeCell ref="A45:D45"/>
    <mergeCell ref="A132:D132"/>
    <mergeCell ref="A1:G1"/>
    <mergeCell ref="A119:D119"/>
    <mergeCell ref="A87:D87"/>
    <mergeCell ref="A41:G41"/>
    <mergeCell ref="A128:G128"/>
    <mergeCell ref="A90:D90"/>
    <mergeCell ref="A84:D84"/>
    <mergeCell ref="A46:G46"/>
    <mergeCell ref="A133:G133"/>
    <mergeCell ref="A158:D158"/>
    <mergeCell ref="A154:D154"/>
    <mergeCell ref="A74:D74"/>
    <mergeCell ref="A105:D105"/>
    <mergeCell ref="A12:D12"/>
    <mergeCell ref="A26:D26"/>
    <mergeCell ref="A2:G2"/>
    <mergeCell ref="A71:D7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22" customWidth="1" min="5" max="5"/>
    <col width="16" customWidth="1" min="6" max="6"/>
    <col width="16" customWidth="1" min="7" max="7"/>
    <col width="12" customWidth="1" min="8" max="8"/>
    <col width="10" customWidth="1" min="9" max="9"/>
    <col width="12" customWidth="1" min="10" max="10"/>
    <col width="10" customWidth="1" min="11" max="11"/>
  </cols>
  <sheetData>
    <row r="1" ht="27.75" customHeight="1">
      <c r="A1" s="1" t="inlineStr">
        <is>
          <t>MEAUX PN01 — PARAMÈTRES SITE 2025</t>
        </is>
      </c>
    </row>
    <row r="2" ht="15.8" customHeight="1">
      <c r="A2" s="5" t="inlineStr">
        <is>
          <t>Site</t>
        </is>
      </c>
      <c r="C2" s="16" t="inlineStr">
        <is>
          <t>MEAUX PN01</t>
        </is>
      </c>
    </row>
    <row r="3" ht="15.8" customHeight="1">
      <c r="A3" s="5" t="inlineStr">
        <is>
          <t>Surface totale site (m²)</t>
        </is>
      </c>
      <c r="C3" s="16" t="n">
        <v>71243.39999999999</v>
      </c>
    </row>
    <row r="4" ht="15.8" customHeight="1">
      <c r="A4" s="5" t="inlineStr">
        <is>
          <t>Année</t>
        </is>
      </c>
      <c r="C4" s="16" t="n">
        <v>2025</v>
      </c>
    </row>
    <row r="5" ht="7.55" customHeight="1"/>
    <row r="6" ht="19.55" customHeight="1">
      <c r="A6" s="3" t="inlineStr">
        <is>
          <t>Lot</t>
        </is>
      </c>
      <c r="B6" s="3" t="inlineStr">
        <is>
          <t>Statut</t>
        </is>
      </c>
      <c r="C6" s="3" t="inlineStr">
        <is>
          <t>Surface (m²)</t>
        </is>
      </c>
      <c r="D6" s="3" t="inlineStr">
        <is>
          <t>Bâtiment</t>
        </is>
      </c>
      <c r="E6" s="3" t="inlineStr">
        <is>
          <t>Locataire</t>
        </is>
      </c>
      <c r="F6" s="3" t="inlineStr">
        <is>
          <t>Début de bail / MAD</t>
        </is>
      </c>
      <c r="G6" s="3" t="inlineStr">
        <is>
          <t>Fin de bail</t>
        </is>
      </c>
      <c r="H6" s="3" t="inlineStr">
        <is>
          <t>Jours Fluides 2025</t>
        </is>
      </c>
      <c r="I6" s="3" t="inlineStr">
        <is>
          <t>Prorata Fluides</t>
        </is>
      </c>
      <c r="J6" s="3" t="inlineStr">
        <is>
          <t>Jours Autres 2025</t>
        </is>
      </c>
      <c r="K6" s="3" t="inlineStr">
        <is>
          <t>Prorata Autres</t>
        </is>
      </c>
    </row>
    <row r="7" ht="15.05" customHeight="1">
      <c r="A7" s="16" t="inlineStr">
        <is>
          <t>BAT 1 - MEAUX I</t>
        </is>
      </c>
      <c r="B7" s="17" t="inlineStr">
        <is>
          <t>Occupé</t>
        </is>
      </c>
      <c r="C7" s="18" t="n">
        <v>32653.4</v>
      </c>
      <c r="D7" s="19" t="inlineStr">
        <is>
          <t>MEAUX I</t>
        </is>
      </c>
      <c r="E7" s="20" t="inlineStr">
        <is>
          <t>C&amp;A</t>
        </is>
      </c>
      <c r="F7" s="21" t="n">
        <v>42111</v>
      </c>
      <c r="G7" s="21" t="n">
        <v>46493</v>
      </c>
      <c r="H7" s="22">
        <f>MAX(0,MIN(DATE(2025,12,31),IF(G7="",DATE(2025,12,31),G7))-MAX(DATE(2025,1,1),IF(F7="",DATE(2025,1,1),F7))+1)</f>
        <v/>
      </c>
      <c r="I7" s="23">
        <f>H7/365</f>
        <v/>
      </c>
      <c r="J7" s="22">
        <f>H7</f>
        <v/>
      </c>
      <c r="K7" s="23">
        <f>J7/365</f>
        <v/>
      </c>
    </row>
    <row r="8" ht="15.05" customHeight="1">
      <c r="A8" s="16" t="inlineStr">
        <is>
          <t>C1</t>
        </is>
      </c>
      <c r="B8" s="17" t="inlineStr">
        <is>
          <t>Occupé</t>
        </is>
      </c>
      <c r="C8" s="18" t="n">
        <v>9553</v>
      </c>
      <c r="D8" s="19" t="inlineStr">
        <is>
          <t>MEAUX II</t>
        </is>
      </c>
      <c r="E8" s="20" t="inlineStr">
        <is>
          <t>DELISLE Logistique</t>
        </is>
      </c>
      <c r="F8" s="21" t="n">
        <v>45968</v>
      </c>
      <c r="G8" s="21" t="n">
        <v>50344</v>
      </c>
      <c r="H8" s="24" t="n">
        <v>55</v>
      </c>
      <c r="I8" s="23">
        <f>H8/365</f>
        <v/>
      </c>
      <c r="J8" s="24" t="n">
        <v>31</v>
      </c>
      <c r="K8" s="23">
        <f>J8/365</f>
        <v/>
      </c>
    </row>
    <row r="9" ht="15.05" customHeight="1">
      <c r="A9" s="16" t="inlineStr">
        <is>
          <t>C2</t>
        </is>
      </c>
      <c r="B9" s="25" t="inlineStr">
        <is>
          <t>Vacant</t>
        </is>
      </c>
      <c r="C9" s="18" t="n">
        <v>9717.5</v>
      </c>
      <c r="D9" s="19" t="inlineStr">
        <is>
          <t>MEAUX II</t>
        </is>
      </c>
      <c r="E9" s="20" t="inlineStr"/>
      <c r="F9" s="19" t="n"/>
      <c r="G9" s="19" t="n"/>
      <c r="H9" s="22">
        <f>MAX(0,MIN(DATE(2025,12,31),IF(G9="",DATE(2025,12,31),G9))-MAX(DATE(2025,1,1),IF(F9="",DATE(2025,1,1),F9))+1)</f>
        <v/>
      </c>
      <c r="I9" s="23">
        <f>H9/365</f>
        <v/>
      </c>
      <c r="J9" s="22">
        <f>H9</f>
        <v/>
      </c>
      <c r="K9" s="23">
        <f>J9/365</f>
        <v/>
      </c>
    </row>
    <row r="10" ht="15.05" customHeight="1">
      <c r="A10" s="16" t="inlineStr">
        <is>
          <t>C3</t>
        </is>
      </c>
      <c r="B10" s="17" t="inlineStr">
        <is>
          <t>Occupé</t>
        </is>
      </c>
      <c r="C10" s="18" t="n">
        <v>9525</v>
      </c>
      <c r="D10" s="19" t="inlineStr">
        <is>
          <t>MEAUX II</t>
        </is>
      </c>
      <c r="E10" s="20" t="inlineStr">
        <is>
          <t>SHAOKE Express</t>
        </is>
      </c>
      <c r="F10" s="21" t="n">
        <v>45986</v>
      </c>
      <c r="G10" s="21" t="n">
        <v>50419</v>
      </c>
      <c r="H10" s="24" t="n">
        <v>37</v>
      </c>
      <c r="I10" s="23">
        <f>H10/365</f>
        <v/>
      </c>
      <c r="J10" s="24" t="n">
        <v>0</v>
      </c>
      <c r="K10" s="23">
        <f>J10/365</f>
        <v/>
      </c>
    </row>
    <row r="11" ht="15.05" customHeight="1">
      <c r="A11" s="16" t="inlineStr">
        <is>
          <t>C4</t>
        </is>
      </c>
      <c r="B11" s="25" t="inlineStr">
        <is>
          <t>Vacant</t>
        </is>
      </c>
      <c r="C11" s="18" t="n">
        <v>9794.5</v>
      </c>
      <c r="D11" s="19" t="inlineStr">
        <is>
          <t>MEAUX II</t>
        </is>
      </c>
      <c r="E11" s="20" t="inlineStr"/>
      <c r="F11" s="19" t="n"/>
      <c r="G11" s="19" t="n"/>
      <c r="H11" s="22">
        <f>MAX(0,MIN(DATE(2025,12,31),IF(G11="",DATE(2025,12,31),G11))-MAX(DATE(2025,1,1),IF(F11="",DATE(2025,1,1),F11))+1)</f>
        <v/>
      </c>
      <c r="I11" s="23">
        <f>H11/365</f>
        <v/>
      </c>
      <c r="J11" s="22">
        <f>H11</f>
        <v/>
      </c>
      <c r="K11" s="23">
        <f>J11/365</f>
        <v/>
      </c>
    </row>
    <row r="12" ht="7.55" customHeight="1"/>
    <row r="13" ht="18" customHeight="1">
      <c r="A13" s="26" t="inlineStr">
        <is>
          <t>Poste (lié aux Récapitulatifs)</t>
        </is>
      </c>
      <c r="C13" s="27" t="inlineStr">
        <is>
          <t>Montant HT (€)</t>
        </is>
      </c>
    </row>
    <row r="14" ht="15.05" customHeight="1">
      <c r="A14" s="28">
        <f>IFERROR(MID('Récap MEAUX II 2025'!A84,FIND(" — ",'Récap MEAUX II 2025'!A84)+4,100),"")</f>
        <v/>
      </c>
      <c r="C14" s="29">
        <f>'Récap MEAUX II 2025'!E84</f>
        <v/>
      </c>
    </row>
    <row r="15" ht="15.05" customHeight="1">
      <c r="A15" s="28">
        <f>IFERROR(MID('Récap MEAUX II 2025'!A127,FIND(" — ",'Récap MEAUX II 2025'!A127)+4,100),"")</f>
        <v/>
      </c>
      <c r="C15" s="29">
        <f>'Récap MEAUX II 2025'!E127</f>
        <v/>
      </c>
    </row>
    <row r="16" ht="15.05" customHeight="1">
      <c r="A16" s="28">
        <f>IFERROR(MID('Récap Site 2025'!A22,FIND(" — ",'Récap Site 2025'!A22)+4,100),"")</f>
        <v/>
      </c>
      <c r="C16" s="29">
        <f>'Récap Site 2025'!E22</f>
        <v/>
      </c>
    </row>
    <row r="17" ht="15.05" customHeight="1">
      <c r="A17" s="28">
        <f>IFERROR(MID('Récap MEAUX II 2025'!A26,FIND(" — ",'Récap MEAUX II 2025'!A26)+4,100),"")</f>
        <v/>
      </c>
      <c r="C17" s="29">
        <f>'Récap MEAUX II 2025'!E26</f>
        <v/>
      </c>
    </row>
    <row r="18" ht="15.05" customHeight="1">
      <c r="A18" s="28">
        <f>IFERROR(MID('Récap MEAUX II 2025'!A132,FIND(" — ",'Récap MEAUX II 2025'!A132)+4,100),"")</f>
        <v/>
      </c>
      <c r="C18" s="29">
        <f>'Récap MEAUX II 2025'!E132</f>
        <v/>
      </c>
    </row>
    <row r="19" ht="15.05" customHeight="1">
      <c r="A19" s="28">
        <f>IFERROR(MID('Récap MEAUX II 2025'!A148,FIND(" — ",'Récap MEAUX II 2025'!A148)+4,100),"")</f>
        <v/>
      </c>
      <c r="C19" s="29">
        <f>'Récap MEAUX II 2025'!E148</f>
        <v/>
      </c>
    </row>
    <row r="20" ht="15.05" customHeight="1">
      <c r="A20" s="28">
        <f>IFERROR(MID('Récap MEAUX II 2025'!A8,FIND(" — ",'Récap MEAUX II 2025'!A8)+4,100),"")</f>
        <v/>
      </c>
      <c r="C20" s="29">
        <f>'Récap MEAUX II 2025'!E8</f>
        <v/>
      </c>
    </row>
    <row r="21" ht="15.05" customHeight="1">
      <c r="A21" s="28">
        <f>IFERROR(MID('Récap MEAUX II 2025'!A12,FIND(" — ",'Récap MEAUX II 2025'!A12)+4,100),"")</f>
        <v/>
      </c>
      <c r="C21" s="29">
        <f>'Récap MEAUX II 2025'!E12</f>
        <v/>
      </c>
    </row>
    <row r="22" ht="15.05" customHeight="1">
      <c r="A22" s="28">
        <f>IFERROR(MID('Récap MEAUX II 2025'!A40,FIND(" — ",'Récap MEAUX II 2025'!A40)+4,100),"")</f>
        <v/>
      </c>
      <c r="C22" s="29">
        <f>'Récap MEAUX II 2025'!E40</f>
        <v/>
      </c>
    </row>
    <row r="23" ht="15.05" customHeight="1">
      <c r="A23" s="28">
        <f>IFERROR(MID('Récap MEAUX II 2025'!A45,FIND(" — ",'Récap MEAUX II 2025'!A45)+4,100),"")</f>
        <v/>
      </c>
      <c r="C23" s="29">
        <f>'Récap MEAUX II 2025'!E45</f>
        <v/>
      </c>
    </row>
    <row r="24" ht="15.05" customHeight="1">
      <c r="A24" s="28">
        <f>IFERROR(MID('Récap MEAUX II 2025'!A63,FIND(" — ",'Récap MEAUX II 2025'!A63)+4,100),"")</f>
        <v/>
      </c>
      <c r="C24" s="29">
        <f>'Récap MEAUX II 2025'!E63</f>
        <v/>
      </c>
    </row>
    <row r="25" ht="15.05" customHeight="1">
      <c r="A25" s="28">
        <f>IFERROR(MID('Récap MEAUX II 2025'!A67,FIND(" — ",'Récap MEAUX II 2025'!A67)+4,100),"")</f>
        <v/>
      </c>
      <c r="C25" s="29">
        <f>'Récap MEAUX II 2025'!E67</f>
        <v/>
      </c>
    </row>
    <row r="26" ht="15.05" customHeight="1">
      <c r="A26" s="28">
        <f>IFERROR(MID('Récap MEAUX II 2025'!A71,FIND(" — ",'Récap MEAUX II 2025'!A71)+4,100),"")</f>
        <v/>
      </c>
      <c r="C26" s="29">
        <f>'Récap MEAUX II 2025'!E71</f>
        <v/>
      </c>
    </row>
    <row r="27" ht="15.05" customHeight="1">
      <c r="A27" s="28">
        <f>IFERROR(MID('Récap MEAUX II 2025'!A74,FIND(" — ",'Récap MEAUX II 2025'!A74)+4,100),"")</f>
        <v/>
      </c>
      <c r="C27" s="29">
        <f>'Récap MEAUX II 2025'!E74</f>
        <v/>
      </c>
    </row>
    <row r="28" ht="15.05" customHeight="1">
      <c r="A28" s="28">
        <f>IFERROR(MID('Récap MEAUX II 2025'!A81,FIND(" — ",'Récap MEAUX II 2025'!A81)+4,100),"")</f>
        <v/>
      </c>
      <c r="C28" s="29">
        <f>'Récap MEAUX II 2025'!E81</f>
        <v/>
      </c>
    </row>
    <row r="29" ht="15.05" customHeight="1">
      <c r="A29" s="28">
        <f>IFERROR(MID('Récap MEAUX II 2025'!A87,FIND(" — ",'Récap MEAUX II 2025'!A87)+4,100),"")</f>
        <v/>
      </c>
      <c r="C29" s="29">
        <f>'Récap MEAUX II 2025'!E87</f>
        <v/>
      </c>
    </row>
    <row r="30" ht="15.05" customHeight="1">
      <c r="A30" s="28">
        <f>IFERROR(MID('Récap MEAUX II 2025'!A90,FIND(" — ",'Récap MEAUX II 2025'!A90)+4,100),"")</f>
        <v/>
      </c>
      <c r="C30" s="29">
        <f>'Récap MEAUX II 2025'!E90</f>
        <v/>
      </c>
    </row>
    <row r="31" ht="15.05" customHeight="1">
      <c r="A31" s="28">
        <f>IFERROR(MID('Récap MEAUX II 2025'!A93,FIND(" — ",'Récap MEAUX II 2025'!A93)+4,100),"")</f>
        <v/>
      </c>
      <c r="C31" s="29">
        <f>'Récap MEAUX II 2025'!E93</f>
        <v/>
      </c>
    </row>
    <row r="32" ht="15.05" customHeight="1">
      <c r="A32" s="28">
        <f>IFERROR(MID('Récap MEAUX II 2025'!A96,FIND(" — ",'Récap MEAUX II 2025'!A96)+4,100),"")</f>
        <v/>
      </c>
      <c r="C32" s="29">
        <f>'Récap MEAUX II 2025'!E96</f>
        <v/>
      </c>
    </row>
    <row r="33" ht="15.05" customHeight="1">
      <c r="A33" s="28">
        <f>IFERROR(MID('Récap MEAUX II 2025'!A102,FIND(" — ",'Récap MEAUX II 2025'!A102)+4,100),"")</f>
        <v/>
      </c>
      <c r="C33" s="29">
        <f>'Récap MEAUX II 2025'!E102</f>
        <v/>
      </c>
    </row>
    <row r="34" ht="15.05" customHeight="1">
      <c r="A34" s="28">
        <f>IFERROR(MID('Récap MEAUX II 2025'!A105,FIND(" — ",'Récap MEAUX II 2025'!A105)+4,100),"")</f>
        <v/>
      </c>
      <c r="C34" s="29">
        <f>'Récap MEAUX II 2025'!E105</f>
        <v/>
      </c>
    </row>
    <row r="35" ht="15.05" customHeight="1">
      <c r="A35" s="28">
        <f>IFERROR(MID('Récap MEAUX II 2025'!A119,FIND(" — ",'Récap MEAUX II 2025'!A119)+4,100),"")</f>
        <v/>
      </c>
      <c r="C35" s="29">
        <f>'Récap MEAUX II 2025'!E119</f>
        <v/>
      </c>
    </row>
    <row r="36" ht="15.05" customHeight="1">
      <c r="A36" s="28">
        <f>IFERROR(MID('Récap MEAUX II 2025'!A123,FIND(" — ",'Récap MEAUX II 2025'!A123)+4,100),"")</f>
        <v/>
      </c>
      <c r="C36" s="29">
        <f>'Récap MEAUX II 2025'!E123</f>
        <v/>
      </c>
    </row>
    <row r="37" ht="15.05" customHeight="1">
      <c r="A37" s="28">
        <f>IFERROR(MID('Récap MEAUX II 2025'!A154,FIND(" — ",'Récap MEAUX II 2025'!A154)+4,100),"")</f>
        <v/>
      </c>
      <c r="C37" s="29">
        <f>'Récap MEAUX II 2025'!E154</f>
        <v/>
      </c>
    </row>
  </sheetData>
  <mergeCells count="2">
    <mergeCell ref="A1:I1"/>
    <mergeCell ref="A13:B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2" customWidth="1" min="5" max="5"/>
    <col width="15" customWidth="1" min="6" max="6"/>
  </cols>
  <sheetData>
    <row r="1" ht="25.55" customHeight="1">
      <c r="A1" s="30" t="inlineStr">
        <is>
          <t>RÉGULARISATION DE CHARGES — BAT 1 - MEAUX I</t>
        </is>
      </c>
    </row>
    <row r="2" ht="15.8" customHeight="1">
      <c r="A2" s="2" t="inlineStr">
        <is>
          <t>Site : MEAUX PN01  |  Année 2025</t>
        </is>
      </c>
    </row>
    <row r="3" ht="15.8" customHeight="1">
      <c r="A3" s="2">
        <f>Paramètres!$B$7&amp;IF(Paramètres!$E$7&lt;&gt;""," — "&amp;Paramètres!$E$7,"")</f>
        <v/>
      </c>
    </row>
    <row r="4" ht="19.55" customHeight="1">
      <c r="A4" s="3" t="inlineStr">
        <is>
          <t>Poste</t>
        </is>
      </c>
      <c r="B4" s="3" t="inlineStr">
        <is>
          <t>Clé répartition</t>
        </is>
      </c>
      <c r="C4" s="3" t="inlineStr">
        <is>
          <t>Total HT</t>
        </is>
      </c>
      <c r="D4" s="3" t="inlineStr">
        <is>
          <t>QP annuelle</t>
        </is>
      </c>
      <c r="E4" s="3" t="inlineStr">
        <is>
          <t>Période</t>
        </is>
      </c>
      <c r="F4" s="3" t="inlineStr">
        <is>
          <t>QP locataire</t>
        </is>
      </c>
    </row>
    <row r="5" ht="20" customHeight="1">
      <c r="A5" s="13" t="inlineStr">
        <is>
          <t>CHARGES SITE — MEAUX PN01</t>
        </is>
      </c>
    </row>
    <row r="6" ht="18" customHeight="1">
      <c r="A6" s="5" t="inlineStr">
        <is>
          <t>CONTRAT MAINTENANCE</t>
        </is>
      </c>
    </row>
    <row r="7" ht="15.05" customHeight="1">
      <c r="A7" s="31" t="inlineStr">
        <is>
          <t>Portails + Barrières automatiques</t>
        </is>
      </c>
      <c r="B7" s="32">
        <f>Paramètres!$C$7/Paramètres!$C$3</f>
        <v/>
      </c>
      <c r="C7" s="33">
        <f>'Récap MEAUX II 2025'!E84</f>
        <v/>
      </c>
      <c r="D7" s="33">
        <f>B7*C7</f>
        <v/>
      </c>
      <c r="E7" s="34">
        <f>Paramètres!$J$7/365</f>
        <v/>
      </c>
      <c r="F7" s="33">
        <f>D7*E7</f>
        <v/>
      </c>
    </row>
    <row r="8" ht="15.05" customHeight="1">
      <c r="A8" s="31" t="inlineStr">
        <is>
          <t>Vérifications règlementaires</t>
        </is>
      </c>
      <c r="B8" s="32">
        <f>Paramètres!$C$7/Paramètres!$C$3</f>
        <v/>
      </c>
      <c r="C8" s="33">
        <f>'Récap MEAUX II 2025'!E127</f>
        <v/>
      </c>
      <c r="D8" s="33">
        <f>B8*C8</f>
        <v/>
      </c>
      <c r="E8" s="34">
        <f>Paramètres!$J$7/365</f>
        <v/>
      </c>
      <c r="F8" s="33">
        <f>D8*E8</f>
        <v/>
      </c>
    </row>
    <row r="9" ht="18" customHeight="1">
      <c r="A9" s="9" t="inlineStr">
        <is>
          <t>Sous-total — CONTRAT MAINTENANCE</t>
        </is>
      </c>
      <c r="C9" s="10">
        <f>SUM(C7:C8)</f>
        <v/>
      </c>
      <c r="D9" s="10">
        <f>SUM(D7:D8)</f>
        <v/>
      </c>
      <c r="E9" s="35" t="n"/>
      <c r="F9" s="10">
        <f>SUM(F7:F8)</f>
        <v/>
      </c>
    </row>
    <row r="10" ht="6" customHeight="1"/>
    <row r="11" ht="20" customHeight="1">
      <c r="A11" s="13" t="inlineStr">
        <is>
          <t>CHARGES BÂTIMENT — MEAUX I</t>
        </is>
      </c>
    </row>
    <row r="12" ht="18" customHeight="1">
      <c r="A12" s="5" t="inlineStr">
        <is>
          <t>FLUIDES</t>
        </is>
      </c>
    </row>
    <row r="13" ht="15.05" customHeight="1">
      <c r="A13" s="31" t="inlineStr">
        <is>
          <t>Electricité</t>
        </is>
      </c>
      <c r="B13" s="32">
        <f>Paramètres!$C$7/32653.4</f>
        <v/>
      </c>
      <c r="C13" s="33">
        <f>'Récap MEAUX II 2025'!E26</f>
        <v/>
      </c>
      <c r="D13" s="33">
        <f>B13*C13</f>
        <v/>
      </c>
      <c r="E13" s="34">
        <f>Paramètres!$H$7/365</f>
        <v/>
      </c>
      <c r="F13" s="33">
        <f>D13*E13</f>
        <v/>
      </c>
    </row>
    <row r="14" ht="18" customHeight="1">
      <c r="A14" s="9" t="inlineStr">
        <is>
          <t>Sous-total — FLUIDES</t>
        </is>
      </c>
      <c r="C14" s="10">
        <f>SUM(C13:C13)</f>
        <v/>
      </c>
      <c r="D14" s="10">
        <f>SUM(D13:D13)</f>
        <v/>
      </c>
      <c r="E14" s="35" t="n"/>
      <c r="F14" s="10">
        <f>SUM(F13:F13)</f>
        <v/>
      </c>
    </row>
    <row r="15" ht="18" customHeight="1">
      <c r="A15" s="5" t="inlineStr">
        <is>
          <t>CONTRAT MAINTENANCE</t>
        </is>
      </c>
    </row>
    <row r="16" ht="15.05" customHeight="1">
      <c r="A16" s="31" t="inlineStr">
        <is>
          <t>Vérifications règlementaires</t>
        </is>
      </c>
      <c r="B16" s="32">
        <f>Paramètres!$C$7/32653.4</f>
        <v/>
      </c>
      <c r="C16" s="33">
        <f>'Récap MEAUX II 2025'!E127</f>
        <v/>
      </c>
      <c r="D16" s="33">
        <f>B16*C16</f>
        <v/>
      </c>
      <c r="E16" s="34">
        <f>Paramètres!$J$7/365</f>
        <v/>
      </c>
      <c r="F16" s="33">
        <f>D16*E16</f>
        <v/>
      </c>
    </row>
    <row r="17" ht="18" customHeight="1">
      <c r="A17" s="9" t="inlineStr">
        <is>
          <t>Sous-total — CONTRAT MAINTENANCE</t>
        </is>
      </c>
      <c r="C17" s="10">
        <f>SUM(C16:C16)</f>
        <v/>
      </c>
      <c r="D17" s="10">
        <f>SUM(D16:D16)</f>
        <v/>
      </c>
      <c r="E17" s="35" t="n"/>
      <c r="F17" s="10">
        <f>SUM(F16:F16)</f>
        <v/>
      </c>
    </row>
    <row r="18" ht="18" customHeight="1">
      <c r="A18" s="5" t="inlineStr">
        <is>
          <t>TAXES</t>
        </is>
      </c>
    </row>
    <row r="19" ht="15.05" customHeight="1">
      <c r="A19" s="31" t="inlineStr">
        <is>
          <t>Taxe Bureau &amp; Stationnement</t>
        </is>
      </c>
      <c r="B19" s="32">
        <f>Paramètres!$C$7/32653.4</f>
        <v/>
      </c>
      <c r="C19" s="33">
        <f>'Récap MEAUX II 2025'!E132</f>
        <v/>
      </c>
      <c r="D19" s="33">
        <f>B19*C19</f>
        <v/>
      </c>
      <c r="E19" s="34">
        <f>Paramètres!$J$7/365</f>
        <v/>
      </c>
      <c r="F19" s="33">
        <f>D19*E19</f>
        <v/>
      </c>
    </row>
    <row r="20" ht="18" customHeight="1">
      <c r="A20" s="9" t="inlineStr">
        <is>
          <t>Sous-total — TAXES</t>
        </is>
      </c>
      <c r="C20" s="10">
        <f>SUM(C19:C19)</f>
        <v/>
      </c>
      <c r="D20" s="10">
        <f>SUM(D19:D19)</f>
        <v/>
      </c>
      <c r="E20" s="35" t="n"/>
      <c r="F20" s="10">
        <f>SUM(F19:F19)</f>
        <v/>
      </c>
    </row>
    <row r="21" ht="6" customHeight="1"/>
    <row r="22" ht="6" customHeight="1"/>
    <row r="23" ht="18" customHeight="1">
      <c r="A23" s="5" t="inlineStr">
        <is>
          <t>HONORAIRES</t>
        </is>
      </c>
    </row>
    <row r="24" ht="15.05" customHeight="1">
      <c r="A24" s="31" t="inlineStr">
        <is>
          <t>Honoraires Gestion Technique</t>
        </is>
      </c>
      <c r="D24" s="36" t="n"/>
      <c r="E24" s="37" t="n">
        <v>1</v>
      </c>
      <c r="F24" s="33">
        <f>IF(D24="","",D24*E24)</f>
        <v/>
      </c>
    </row>
    <row r="25" ht="18" customHeight="1">
      <c r="A25" s="9" t="inlineStr">
        <is>
          <t>Sous-total — HONORAIRES</t>
        </is>
      </c>
      <c r="C25" s="10">
        <f>SUM(C24:C24)</f>
        <v/>
      </c>
      <c r="D25" s="10">
        <f>SUM(D24:D24)</f>
        <v/>
      </c>
      <c r="E25" s="35" t="n"/>
      <c r="F25" s="10">
        <f>SUM(F24:F24)</f>
        <v/>
      </c>
    </row>
    <row r="26" ht="7.55" customHeight="1"/>
    <row r="27" ht="21.75" customHeight="1">
      <c r="A27" s="13" t="inlineStr">
        <is>
          <t>TOTAL CHARGES RÉCUPÉRABLES RÉELLES (€ HT)</t>
        </is>
      </c>
      <c r="C27" s="14">
        <f>C9+C14+C17+C20+C25</f>
        <v/>
      </c>
      <c r="D27" s="14">
        <f>D9+D14+D17+D20+D25</f>
        <v/>
      </c>
      <c r="E27" s="38" t="n"/>
      <c r="F27" s="14">
        <f>F9+F14+F17+F20+F25</f>
        <v/>
      </c>
    </row>
    <row r="28" ht="7.55" customHeight="1"/>
    <row r="29" ht="19.55" customHeight="1">
      <c r="A29" s="5" t="inlineStr">
        <is>
          <t>Provisions pour charges versées</t>
        </is>
      </c>
      <c r="C29" s="39" t="n"/>
      <c r="D29" s="27" t="inlineStr">
        <is>
          <t>Montant annuel (€)</t>
        </is>
      </c>
      <c r="E29" s="39" t="n"/>
      <c r="F29" s="27" t="inlineStr">
        <is>
          <t>Montant locataire (€)</t>
        </is>
      </c>
    </row>
    <row r="30" ht="15.8" customHeight="1">
      <c r="A30" s="20" t="inlineStr">
        <is>
          <t xml:space="preserve">  1er trimestre (T1)</t>
        </is>
      </c>
    </row>
    <row r="31" ht="15.8" customHeight="1">
      <c r="A31" s="20" t="inlineStr">
        <is>
          <t xml:space="preserve">  2e trimestre (T2)</t>
        </is>
      </c>
    </row>
    <row r="32" ht="15.8" customHeight="1">
      <c r="A32" s="20" t="inlineStr">
        <is>
          <t xml:space="preserve">  3e trimestre (T3)</t>
        </is>
      </c>
    </row>
    <row r="33" ht="15.8" customHeight="1">
      <c r="A33" s="20" t="inlineStr">
        <is>
          <t xml:space="preserve">  4e trimestre (T4)</t>
        </is>
      </c>
    </row>
    <row r="34" ht="18" customHeight="1">
      <c r="A34" s="9" t="inlineStr">
        <is>
          <t>Total provisions pour charges versées →</t>
        </is>
      </c>
      <c r="D34" s="10">
        <f>SUM(D30:D33)</f>
        <v/>
      </c>
      <c r="E34" s="35" t="n"/>
      <c r="F34" s="10">
        <f>SUM(F30:F33)</f>
        <v/>
      </c>
    </row>
    <row r="35" ht="7.55" customHeight="1"/>
    <row r="36" ht="21.75" customHeight="1">
      <c r="A36" s="40">
        <f>IF(F27-F34&gt;0,"SOLDE DÉBITEUR","SOLDE CRÉDITEUR")</f>
        <v/>
      </c>
      <c r="D36" s="41">
        <f>D27-D34</f>
        <v/>
      </c>
      <c r="E36" s="39" t="n"/>
      <c r="F36" s="41">
        <f>F27-F34</f>
        <v/>
      </c>
    </row>
    <row r="38" ht="27.75" customHeight="1">
      <c r="A38" s="42" t="inlineStr">
        <is>
          <t>ℹ  Clé répartition = surface lot ÷ surface totale site. Période = nombre de jours d'occupation ÷ 365.</t>
        </is>
      </c>
    </row>
  </sheetData>
  <mergeCells count="20">
    <mergeCell ref="A12:F12"/>
    <mergeCell ref="A18:F18"/>
    <mergeCell ref="A3:F3"/>
    <mergeCell ref="A2:F2"/>
    <mergeCell ref="A25:B25"/>
    <mergeCell ref="A5:F5"/>
    <mergeCell ref="A23:F23"/>
    <mergeCell ref="A27:B27"/>
    <mergeCell ref="A38:F38"/>
    <mergeCell ref="A14:B14"/>
    <mergeCell ref="A17:B17"/>
    <mergeCell ref="A34:C34"/>
    <mergeCell ref="A15:F15"/>
    <mergeCell ref="A11:F11"/>
    <mergeCell ref="A20:B20"/>
    <mergeCell ref="A36:C36"/>
    <mergeCell ref="A29:B29"/>
    <mergeCell ref="A1:F1"/>
    <mergeCell ref="A6:F6"/>
    <mergeCell ref="A9:B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2" customWidth="1" min="5" max="5"/>
    <col width="15" customWidth="1" min="6" max="6"/>
  </cols>
  <sheetData>
    <row r="1" ht="25.55" customHeight="1">
      <c r="A1" s="30" t="inlineStr">
        <is>
          <t>RÉGULARISATION DE CHARGES — C1</t>
        </is>
      </c>
    </row>
    <row r="2" ht="15.8" customHeight="1">
      <c r="A2" s="2" t="inlineStr">
        <is>
          <t>Site : MEAUX PN01  |  Année 2025</t>
        </is>
      </c>
    </row>
    <row r="3" ht="15.8" customHeight="1">
      <c r="A3" s="2">
        <f>Paramètres!$B$8&amp;IF(Paramètres!$E$8&lt;&gt;""," — "&amp;Paramètres!$E$8,"")</f>
        <v/>
      </c>
    </row>
    <row r="4" ht="19.55" customHeight="1">
      <c r="A4" s="3" t="inlineStr">
        <is>
          <t>Poste</t>
        </is>
      </c>
      <c r="B4" s="3" t="inlineStr">
        <is>
          <t>Clé répartition</t>
        </is>
      </c>
      <c r="C4" s="3" t="inlineStr">
        <is>
          <t>Total HT</t>
        </is>
      </c>
      <c r="D4" s="3" t="inlineStr">
        <is>
          <t>QP annuelle</t>
        </is>
      </c>
      <c r="E4" s="3" t="inlineStr">
        <is>
          <t>Période</t>
        </is>
      </c>
      <c r="F4" s="3" t="inlineStr">
        <is>
          <t>QP locataire</t>
        </is>
      </c>
    </row>
    <row r="5" ht="20" customHeight="1">
      <c r="A5" s="13" t="inlineStr">
        <is>
          <t>CHARGES SITE — MEAUX PN01</t>
        </is>
      </c>
    </row>
    <row r="6" ht="18" customHeight="1">
      <c r="A6" s="5" t="inlineStr">
        <is>
          <t>CONTRAT MAINTENANCE</t>
        </is>
      </c>
    </row>
    <row r="7" ht="15.05" customHeight="1">
      <c r="A7" s="31" t="inlineStr">
        <is>
          <t>Portails + Barrières automatiques</t>
        </is>
      </c>
      <c r="B7" s="32">
        <f>Paramètres!$C$8/Paramètres!$C$3</f>
        <v/>
      </c>
      <c r="C7" s="33">
        <f>'Récap MEAUX II 2025'!E84</f>
        <v/>
      </c>
      <c r="D7" s="33">
        <f>B7*C7</f>
        <v/>
      </c>
      <c r="E7" s="34">
        <f>Paramètres!$J$8/365</f>
        <v/>
      </c>
      <c r="F7" s="33">
        <f>D7*E7</f>
        <v/>
      </c>
    </row>
    <row r="8" ht="15.05" customHeight="1">
      <c r="A8" s="31" t="inlineStr">
        <is>
          <t>Vérifications règlementaires</t>
        </is>
      </c>
      <c r="B8" s="32">
        <f>Paramètres!$C$8/Paramètres!$C$3</f>
        <v/>
      </c>
      <c r="C8" s="33">
        <f>'Récap MEAUX II 2025'!E127</f>
        <v/>
      </c>
      <c r="D8" s="33">
        <f>B8*C8</f>
        <v/>
      </c>
      <c r="E8" s="34">
        <f>Paramètres!$J$8/365</f>
        <v/>
      </c>
      <c r="F8" s="33">
        <f>D8*E8</f>
        <v/>
      </c>
    </row>
    <row r="9" ht="18" customHeight="1">
      <c r="A9" s="9" t="inlineStr">
        <is>
          <t>Sous-total — CONTRAT MAINTENANCE</t>
        </is>
      </c>
      <c r="C9" s="10">
        <f>SUM(C7:C8)</f>
        <v/>
      </c>
      <c r="D9" s="10">
        <f>SUM(D7:D8)</f>
        <v/>
      </c>
      <c r="E9" s="35" t="n"/>
      <c r="F9" s="10">
        <f>SUM(F7:F8)</f>
        <v/>
      </c>
    </row>
    <row r="10" ht="6" customHeight="1"/>
    <row r="11" ht="20" customHeight="1">
      <c r="A11" s="13" t="inlineStr">
        <is>
          <t>CHARGES BÂTIMENT — MEAUX II</t>
        </is>
      </c>
    </row>
    <row r="12" ht="18" customHeight="1">
      <c r="A12" s="5" t="inlineStr">
        <is>
          <t>FLUIDES</t>
        </is>
      </c>
    </row>
    <row r="13" ht="15.05" customHeight="1">
      <c r="A13" s="31" t="inlineStr">
        <is>
          <t>Eau</t>
        </is>
      </c>
      <c r="B13" s="32">
        <f>Paramètres!$C$8/38590.0</f>
        <v/>
      </c>
      <c r="C13" s="33">
        <f>'Récap MEAUX II 2025'!E8</f>
        <v/>
      </c>
      <c r="D13" s="33">
        <f>B13*C13</f>
        <v/>
      </c>
      <c r="E13" s="34">
        <f>Paramètres!$H$8/365</f>
        <v/>
      </c>
      <c r="F13" s="33">
        <f>D13*E13</f>
        <v/>
      </c>
    </row>
    <row r="14" ht="15.05" customHeight="1">
      <c r="A14" s="31" t="inlineStr">
        <is>
          <t>Eau - Incendie</t>
        </is>
      </c>
      <c r="B14" s="32">
        <f>Paramètres!$C$8/38590.0</f>
        <v/>
      </c>
      <c r="C14" s="33">
        <f>'Récap MEAUX II 2025'!E12</f>
        <v/>
      </c>
      <c r="D14" s="33">
        <f>B14*C14</f>
        <v/>
      </c>
      <c r="E14" s="34">
        <f>Paramètres!$H$8/365</f>
        <v/>
      </c>
      <c r="F14" s="33">
        <f>D14*E14</f>
        <v/>
      </c>
    </row>
    <row r="15" ht="15.05" customHeight="1">
      <c r="A15" s="31" t="inlineStr">
        <is>
          <t>Electricité</t>
        </is>
      </c>
      <c r="B15" s="32">
        <f>Paramètres!$C$8/38590.0</f>
        <v/>
      </c>
      <c r="C15" s="33">
        <f>'Récap MEAUX II 2025'!E26</f>
        <v/>
      </c>
      <c r="D15" s="33">
        <f>B15*C15</f>
        <v/>
      </c>
      <c r="E15" s="34">
        <f>Paramètres!$H$8/365</f>
        <v/>
      </c>
      <c r="F15" s="33">
        <f>D15*E15</f>
        <v/>
      </c>
    </row>
    <row r="16" ht="15.05" customHeight="1">
      <c r="A16" s="31" t="inlineStr">
        <is>
          <t>Gaz</t>
        </is>
      </c>
      <c r="B16" s="32">
        <f>Paramètres!$C$8/38590.0</f>
        <v/>
      </c>
      <c r="C16" s="33">
        <f>'Récap MEAUX II 2025'!E40</f>
        <v/>
      </c>
      <c r="D16" s="33">
        <f>B16*C16</f>
        <v/>
      </c>
      <c r="E16" s="34">
        <f>Paramètres!$H$8/365</f>
        <v/>
      </c>
      <c r="F16" s="33">
        <f>D16*E16</f>
        <v/>
      </c>
    </row>
    <row r="17" ht="18" customHeight="1">
      <c r="A17" s="9" t="inlineStr">
        <is>
          <t>Sous-total — FLUIDES</t>
        </is>
      </c>
      <c r="C17" s="10">
        <f>SUM(C13:C16)</f>
        <v/>
      </c>
      <c r="D17" s="10">
        <f>SUM(D13:D16)</f>
        <v/>
      </c>
      <c r="E17" s="35" t="n"/>
      <c r="F17" s="10">
        <f>SUM(F13:F16)</f>
        <v/>
      </c>
    </row>
    <row r="18" ht="18" customHeight="1">
      <c r="A18" s="5" t="inlineStr">
        <is>
          <t>HONORAIRES</t>
        </is>
      </c>
    </row>
    <row r="19" ht="15.05" customHeight="1">
      <c r="A19" s="31" t="inlineStr">
        <is>
          <t>Honoraires Divers</t>
        </is>
      </c>
      <c r="B19" s="32">
        <f>Paramètres!$C$8/38590.0</f>
        <v/>
      </c>
      <c r="C19" s="33">
        <f>'Récap MEAUX II 2025'!E45</f>
        <v/>
      </c>
      <c r="D19" s="33">
        <f>B19*C19</f>
        <v/>
      </c>
      <c r="E19" s="34">
        <f>Paramètres!$J$8/365</f>
        <v/>
      </c>
      <c r="F19" s="33">
        <f>D19*E19</f>
        <v/>
      </c>
    </row>
    <row r="20" ht="18" customHeight="1">
      <c r="A20" s="9" t="inlineStr">
        <is>
          <t>Sous-total — HONORAIRES</t>
        </is>
      </c>
      <c r="C20" s="10">
        <f>SUM(C19:C19)</f>
        <v/>
      </c>
      <c r="D20" s="10">
        <f>SUM(D19:D19)</f>
        <v/>
      </c>
      <c r="E20" s="35" t="n"/>
      <c r="F20" s="10">
        <f>SUM(F19:F19)</f>
        <v/>
      </c>
    </row>
    <row r="21" ht="18" customHeight="1">
      <c r="A21" s="5" t="inlineStr">
        <is>
          <t>TRAVAUX</t>
        </is>
      </c>
    </row>
    <row r="22" ht="15.05" customHeight="1">
      <c r="A22" s="31" t="inlineStr">
        <is>
          <t>Entretien Courant</t>
        </is>
      </c>
      <c r="B22" s="32">
        <f>Paramètres!$C$8/38590.0</f>
        <v/>
      </c>
      <c r="C22" s="33">
        <f>'Récap MEAUX II 2025'!E63</f>
        <v/>
      </c>
      <c r="D22" s="33">
        <f>B22*C22</f>
        <v/>
      </c>
      <c r="E22" s="34">
        <f>Paramètres!$J$8/365</f>
        <v/>
      </c>
      <c r="F22" s="33">
        <f>D22*E22</f>
        <v/>
      </c>
    </row>
    <row r="23" ht="18" customHeight="1">
      <c r="A23" s="9" t="inlineStr">
        <is>
          <t>Sous-total — TRAVAUX</t>
        </is>
      </c>
      <c r="C23" s="10">
        <f>SUM(C22:C22)</f>
        <v/>
      </c>
      <c r="D23" s="10">
        <f>SUM(D22:D22)</f>
        <v/>
      </c>
      <c r="E23" s="35" t="n"/>
      <c r="F23" s="10">
        <f>SUM(F22:F22)</f>
        <v/>
      </c>
    </row>
    <row r="24" ht="18" customHeight="1">
      <c r="A24" s="5" t="inlineStr">
        <is>
          <t>CONTRAT MAINTENANCE</t>
        </is>
      </c>
    </row>
    <row r="25" ht="15.05" customHeight="1">
      <c r="A25" s="31" t="inlineStr">
        <is>
          <t>Ascenseur</t>
        </is>
      </c>
      <c r="B25" s="32">
        <f>Paramètres!$C$8/38590.0</f>
        <v/>
      </c>
      <c r="C25" s="33">
        <f>'Récap MEAUX II 2025'!E67</f>
        <v/>
      </c>
      <c r="D25" s="33">
        <f>B25*C25</f>
        <v/>
      </c>
      <c r="E25" s="34">
        <f>Paramètres!$J$8/365</f>
        <v/>
      </c>
      <c r="F25" s="33">
        <f>D25*E25</f>
        <v/>
      </c>
    </row>
    <row r="26" ht="15.05" customHeight="1">
      <c r="A26" s="31" t="inlineStr">
        <is>
          <t>Chaufferie</t>
        </is>
      </c>
      <c r="B26" s="32">
        <f>Paramètres!$C$8/38590.0</f>
        <v/>
      </c>
      <c r="C26" s="33">
        <f>'Récap MEAUX II 2025'!E71</f>
        <v/>
      </c>
      <c r="D26" s="33">
        <f>B26*C26</f>
        <v/>
      </c>
      <c r="E26" s="34">
        <f>Paramètres!$J$8/365</f>
        <v/>
      </c>
      <c r="F26" s="33">
        <f>D26*E26</f>
        <v/>
      </c>
    </row>
    <row r="27" ht="15.05" customHeight="1">
      <c r="A27" s="31" t="inlineStr">
        <is>
          <t>Désenfumage</t>
        </is>
      </c>
      <c r="B27" s="32">
        <f>Paramètres!$C$8/38590.0</f>
        <v/>
      </c>
      <c r="C27" s="33">
        <f>'Récap MEAUX II 2025'!E74</f>
        <v/>
      </c>
      <c r="D27" s="33">
        <f>B27*C27</f>
        <v/>
      </c>
      <c r="E27" s="34">
        <f>Paramètres!$J$8/365</f>
        <v/>
      </c>
      <c r="F27" s="33">
        <f>D27*E27</f>
        <v/>
      </c>
    </row>
    <row r="28" ht="15.05" customHeight="1">
      <c r="A28" s="31" t="inlineStr">
        <is>
          <t>Espaces verts</t>
        </is>
      </c>
      <c r="B28" s="32">
        <f>Paramètres!$C$8/38590.0</f>
        <v/>
      </c>
      <c r="C28" s="33">
        <f>'Récap MEAUX II 2025'!E81</f>
        <v/>
      </c>
      <c r="D28" s="33">
        <f>B28*C28</f>
        <v/>
      </c>
      <c r="E28" s="34">
        <f>Paramètres!$J$8/365</f>
        <v/>
      </c>
      <c r="F28" s="33">
        <f>D28*E28</f>
        <v/>
      </c>
    </row>
    <row r="29" ht="15.05" customHeight="1">
      <c r="A29" s="31" t="inlineStr">
        <is>
          <t>Portails + Barrières automatiques</t>
        </is>
      </c>
      <c r="B29" s="32">
        <f>Paramètres!$C$8/38590.0</f>
        <v/>
      </c>
      <c r="C29" s="33">
        <f>'Récap MEAUX II 2025'!E84</f>
        <v/>
      </c>
      <c r="D29" s="33">
        <f>B29*C29</f>
        <v/>
      </c>
      <c r="E29" s="34">
        <f>Paramètres!$J$8/365</f>
        <v/>
      </c>
      <c r="F29" s="33">
        <f>D29*E29</f>
        <v/>
      </c>
    </row>
    <row r="30" ht="15.05" customHeight="1">
      <c r="A30" s="31" t="inlineStr">
        <is>
          <t>Portes Coupe-Feu</t>
        </is>
      </c>
      <c r="B30" s="32">
        <f>Paramètres!$C$8/38590.0</f>
        <v/>
      </c>
      <c r="C30" s="33">
        <f>'Récap MEAUX II 2025'!E87</f>
        <v/>
      </c>
      <c r="D30" s="33">
        <f>B30*C30</f>
        <v/>
      </c>
      <c r="E30" s="34">
        <f>Paramètres!$J$8/365</f>
        <v/>
      </c>
      <c r="F30" s="33">
        <f>D30*E30</f>
        <v/>
      </c>
    </row>
    <row r="31" ht="15.05" customHeight="1">
      <c r="A31" s="31" t="inlineStr">
        <is>
          <t>Protection foudre</t>
        </is>
      </c>
      <c r="B31" s="32">
        <f>Paramètres!$C$8/38590.0</f>
        <v/>
      </c>
      <c r="C31" s="33">
        <f>'Récap MEAUX II 2025'!E90</f>
        <v/>
      </c>
      <c r="D31" s="33">
        <f>B31*C31</f>
        <v/>
      </c>
      <c r="E31" s="34">
        <f>Paramètres!$J$8/365</f>
        <v/>
      </c>
      <c r="F31" s="33">
        <f>D31*E31</f>
        <v/>
      </c>
    </row>
    <row r="32" ht="15.05" customHeight="1">
      <c r="A32" s="31" t="inlineStr">
        <is>
          <t>Quais &amp; Portes sectionnelles</t>
        </is>
      </c>
      <c r="B32" s="32">
        <f>Paramètres!$C$8/38590.0</f>
        <v/>
      </c>
      <c r="C32" s="33">
        <f>'Récap MEAUX II 2025'!E93</f>
        <v/>
      </c>
      <c r="D32" s="33">
        <f>B32*C32</f>
        <v/>
      </c>
      <c r="E32" s="34">
        <f>Paramètres!$J$8/365</f>
        <v/>
      </c>
      <c r="F32" s="33">
        <f>D32*E32</f>
        <v/>
      </c>
    </row>
    <row r="33" ht="15.05" customHeight="1">
      <c r="A33" s="31" t="inlineStr">
        <is>
          <t>Séparateur hydro.</t>
        </is>
      </c>
      <c r="B33" s="32">
        <f>Paramètres!$C$8/38590.0</f>
        <v/>
      </c>
      <c r="C33" s="33">
        <f>'Récap MEAUX II 2025'!E96</f>
        <v/>
      </c>
      <c r="D33" s="33">
        <f>B33*C33</f>
        <v/>
      </c>
      <c r="E33" s="34">
        <f>Paramètres!$J$8/365</f>
        <v/>
      </c>
      <c r="F33" s="33">
        <f>D33*E33</f>
        <v/>
      </c>
    </row>
    <row r="34" ht="15.05" customHeight="1">
      <c r="A34" s="31" t="inlineStr">
        <is>
          <t>Sprinklers - RIA - PI - Fioul</t>
        </is>
      </c>
      <c r="B34" s="32">
        <f>Paramètres!$C$8/38590.0</f>
        <v/>
      </c>
      <c r="C34" s="33">
        <f>'Récap MEAUX II 2025'!E102</f>
        <v/>
      </c>
      <c r="D34" s="33">
        <f>B34*C34</f>
        <v/>
      </c>
      <c r="E34" s="34">
        <f>Paramètres!$J$8/365</f>
        <v/>
      </c>
      <c r="F34" s="33">
        <f>D34*E34</f>
        <v/>
      </c>
    </row>
    <row r="35" ht="15.05" customHeight="1">
      <c r="A35" s="31" t="inlineStr">
        <is>
          <t>SSI</t>
        </is>
      </c>
      <c r="B35" s="32">
        <f>Paramètres!$C$8/38590.0</f>
        <v/>
      </c>
      <c r="C35" s="33">
        <f>'Récap MEAUX II 2025'!E105</f>
        <v/>
      </c>
      <c r="D35" s="33">
        <f>B35*C35</f>
        <v/>
      </c>
      <c r="E35" s="34">
        <f>Paramètres!$J$8/365</f>
        <v/>
      </c>
      <c r="F35" s="33">
        <f>D35*E35</f>
        <v/>
      </c>
    </row>
    <row r="36" ht="15.05" customHeight="1">
      <c r="A36" s="31" t="inlineStr">
        <is>
          <t>Télésurveillance</t>
        </is>
      </c>
      <c r="B36" s="32">
        <f>Paramètres!$C$8/38590.0</f>
        <v/>
      </c>
      <c r="C36" s="33">
        <f>'Récap MEAUX II 2025'!E119</f>
        <v/>
      </c>
      <c r="D36" s="33">
        <f>B36*C36</f>
        <v/>
      </c>
      <c r="E36" s="34">
        <f>Paramètres!$J$8/365</f>
        <v/>
      </c>
      <c r="F36" s="33">
        <f>D36*E36</f>
        <v/>
      </c>
    </row>
    <row r="37" ht="15.05" customHeight="1">
      <c r="A37" s="31" t="inlineStr">
        <is>
          <t>Toiture</t>
        </is>
      </c>
      <c r="B37" s="32">
        <f>Paramètres!$C$8/38590.0</f>
        <v/>
      </c>
      <c r="C37" s="33">
        <f>'Récap MEAUX II 2025'!E123</f>
        <v/>
      </c>
      <c r="D37" s="33">
        <f>B37*C37</f>
        <v/>
      </c>
      <c r="E37" s="34">
        <f>Paramètres!$J$8/365</f>
        <v/>
      </c>
      <c r="F37" s="33">
        <f>D37*E37</f>
        <v/>
      </c>
    </row>
    <row r="38" ht="15.05" customHeight="1">
      <c r="A38" s="31" t="inlineStr">
        <is>
          <t>Vérifications règlementaires</t>
        </is>
      </c>
      <c r="B38" s="32">
        <f>Paramètres!$C$8/38590.0</f>
        <v/>
      </c>
      <c r="C38" s="33">
        <f>'Récap MEAUX II 2025'!E127</f>
        <v/>
      </c>
      <c r="D38" s="33">
        <f>B38*C38</f>
        <v/>
      </c>
      <c r="E38" s="34">
        <f>Paramètres!$J$8/365</f>
        <v/>
      </c>
      <c r="F38" s="33">
        <f>D38*E38</f>
        <v/>
      </c>
    </row>
    <row r="39" ht="18" customHeight="1">
      <c r="A39" s="9" t="inlineStr">
        <is>
          <t>Sous-total — CONTRAT MAINTENANCE</t>
        </is>
      </c>
      <c r="C39" s="10">
        <f>SUM(C25:C38)</f>
        <v/>
      </c>
      <c r="D39" s="10">
        <f>SUM(D25:D38)</f>
        <v/>
      </c>
      <c r="E39" s="35" t="n"/>
      <c r="F39" s="10">
        <f>SUM(F25:F38)</f>
        <v/>
      </c>
    </row>
    <row r="40" ht="18" customHeight="1">
      <c r="A40" s="5" t="inlineStr">
        <is>
          <t>TAXES</t>
        </is>
      </c>
    </row>
    <row r="41" ht="15.05" customHeight="1">
      <c r="A41" s="31" t="inlineStr">
        <is>
          <t>Taxe Bureau &amp; Stationnement</t>
        </is>
      </c>
      <c r="B41" s="32">
        <f>Paramètres!$C$8/38590.0</f>
        <v/>
      </c>
      <c r="C41" s="33">
        <f>'Récap MEAUX II 2025'!E132</f>
        <v/>
      </c>
      <c r="D41" s="33">
        <f>B41*C41</f>
        <v/>
      </c>
      <c r="E41" s="34">
        <f>Paramètres!$J$8/365</f>
        <v/>
      </c>
      <c r="F41" s="33">
        <f>D41*E41</f>
        <v/>
      </c>
    </row>
    <row r="42" ht="18" customHeight="1">
      <c r="A42" s="9" t="inlineStr">
        <is>
          <t>Sous-total — TAXES</t>
        </is>
      </c>
      <c r="C42" s="10">
        <f>SUM(C41:C41)</f>
        <v/>
      </c>
      <c r="D42" s="10">
        <f>SUM(D41:D41)</f>
        <v/>
      </c>
      <c r="E42" s="35" t="n"/>
      <c r="F42" s="10">
        <f>SUM(F41:F41)</f>
        <v/>
      </c>
    </row>
    <row r="43" ht="6" customHeight="1"/>
    <row r="44" ht="7.55" customHeight="1"/>
    <row r="45" ht="21.75" customHeight="1">
      <c r="A45" s="13" t="inlineStr">
        <is>
          <t>TOTAL CHARGES RÉCUPÉRABLES RÉELLES (€ HT)</t>
        </is>
      </c>
      <c r="C45" s="14">
        <f>C9+C17+C20+C23+C39+C42</f>
        <v/>
      </c>
      <c r="D45" s="14">
        <f>D9+D17+D20+D23+D39+D42</f>
        <v/>
      </c>
      <c r="E45" s="38" t="n"/>
      <c r="F45" s="14">
        <f>F9+F17+F20+F23+F39+F42</f>
        <v/>
      </c>
    </row>
    <row r="46" ht="7.55" customHeight="1"/>
    <row r="47" ht="19.55" customHeight="1">
      <c r="A47" s="5" t="inlineStr">
        <is>
          <t>Provisions pour charges versées</t>
        </is>
      </c>
      <c r="C47" s="39" t="n"/>
      <c r="D47" s="27" t="inlineStr">
        <is>
          <t>Montant annuel (€)</t>
        </is>
      </c>
      <c r="E47" s="39" t="n"/>
      <c r="F47" s="27" t="inlineStr">
        <is>
          <t>Montant locataire (€)</t>
        </is>
      </c>
    </row>
    <row r="48" ht="15.8" customHeight="1">
      <c r="A48" s="20" t="inlineStr">
        <is>
          <t xml:space="preserve">  1er trimestre (T1)</t>
        </is>
      </c>
    </row>
    <row r="49" ht="15.8" customHeight="1">
      <c r="A49" s="20" t="inlineStr">
        <is>
          <t xml:space="preserve">  2e trimestre (T2)</t>
        </is>
      </c>
    </row>
    <row r="50" ht="15.8" customHeight="1">
      <c r="A50" s="20" t="inlineStr">
        <is>
          <t xml:space="preserve">  3e trimestre (T3)</t>
        </is>
      </c>
    </row>
    <row r="51" ht="15.8" customHeight="1">
      <c r="A51" s="20" t="inlineStr">
        <is>
          <t xml:space="preserve">  4e trimestre (T4)</t>
        </is>
      </c>
    </row>
    <row r="52" ht="18" customHeight="1">
      <c r="A52" s="9" t="inlineStr">
        <is>
          <t>Total provisions pour charges versées →</t>
        </is>
      </c>
      <c r="D52" s="10">
        <f>SUM(D48:D51)</f>
        <v/>
      </c>
      <c r="E52" s="35" t="n"/>
      <c r="F52" s="10">
        <f>SUM(F48:F51)</f>
        <v/>
      </c>
    </row>
    <row r="53" ht="7.55" customHeight="1"/>
    <row r="54" ht="21.75" customHeight="1">
      <c r="A54" s="40">
        <f>IF(F45-F52&gt;0,"SOLDE DÉBITEUR","SOLDE CRÉDITEUR")</f>
        <v/>
      </c>
      <c r="D54" s="41">
        <f>D45-D52</f>
        <v/>
      </c>
      <c r="E54" s="39" t="n"/>
      <c r="F54" s="41">
        <f>F45-F52</f>
        <v/>
      </c>
    </row>
    <row r="56" ht="27.75" customHeight="1">
      <c r="A56" s="42" t="inlineStr">
        <is>
          <t>ℹ  Clé répartition = surface lot ÷ surface totale site. Période = nombre de jours d'occupation ÷ 365.</t>
        </is>
      </c>
    </row>
  </sheetData>
  <mergeCells count="22">
    <mergeCell ref="A45:B45"/>
    <mergeCell ref="A12:F12"/>
    <mergeCell ref="A18:F18"/>
    <mergeCell ref="A56:F56"/>
    <mergeCell ref="A3:F3"/>
    <mergeCell ref="A21:F21"/>
    <mergeCell ref="A54:C54"/>
    <mergeCell ref="A2:F2"/>
    <mergeCell ref="A5:F5"/>
    <mergeCell ref="A52:C52"/>
    <mergeCell ref="A47:B47"/>
    <mergeCell ref="A42:B42"/>
    <mergeCell ref="A40:F40"/>
    <mergeCell ref="A23:B23"/>
    <mergeCell ref="A17:B17"/>
    <mergeCell ref="A24:F24"/>
    <mergeCell ref="A11:F11"/>
    <mergeCell ref="A20:B20"/>
    <mergeCell ref="A1:F1"/>
    <mergeCell ref="A6:F6"/>
    <mergeCell ref="A9:B9"/>
    <mergeCell ref="A39:B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2" customWidth="1" min="5" max="5"/>
    <col width="15" customWidth="1" min="6" max="6"/>
  </cols>
  <sheetData>
    <row r="1" ht="25.55" customHeight="1">
      <c r="A1" s="30" t="inlineStr">
        <is>
          <t>RÉGULARISATION DE CHARGES — C2</t>
        </is>
      </c>
    </row>
    <row r="2" ht="15.8" customHeight="1">
      <c r="A2" s="2" t="inlineStr">
        <is>
          <t>Site : MEAUX PN01  |  Année 2025</t>
        </is>
      </c>
    </row>
    <row r="3" ht="15.8" customHeight="1">
      <c r="A3" s="2">
        <f>Paramètres!$B$9&amp;IF(Paramètres!$E$9&lt;&gt;""," — "&amp;Paramètres!$E$9,"")</f>
        <v/>
      </c>
    </row>
    <row r="4" ht="19.55" customHeight="1">
      <c r="A4" s="3" t="inlineStr">
        <is>
          <t>Poste</t>
        </is>
      </c>
      <c r="B4" s="3" t="inlineStr">
        <is>
          <t>Clé répartition</t>
        </is>
      </c>
      <c r="C4" s="3" t="inlineStr">
        <is>
          <t>Total HT</t>
        </is>
      </c>
      <c r="D4" s="3" t="inlineStr">
        <is>
          <t>QP annuelle</t>
        </is>
      </c>
      <c r="E4" s="3" t="inlineStr">
        <is>
          <t>Période</t>
        </is>
      </c>
      <c r="F4" s="3" t="inlineStr">
        <is>
          <t>QP locataire</t>
        </is>
      </c>
    </row>
    <row r="5" ht="20" customHeight="1">
      <c r="A5" s="13" t="inlineStr">
        <is>
          <t>CHARGES SITE — MEAUX PN01</t>
        </is>
      </c>
    </row>
    <row r="6" ht="18" customHeight="1">
      <c r="A6" s="5" t="inlineStr">
        <is>
          <t>CONTRAT MAINTENANCE</t>
        </is>
      </c>
    </row>
    <row r="7" ht="15.05" customHeight="1">
      <c r="A7" s="31" t="inlineStr">
        <is>
          <t>Portails + Barrières automatiques</t>
        </is>
      </c>
      <c r="B7" s="32">
        <f>Paramètres!$C$9/Paramètres!$C$3</f>
        <v/>
      </c>
      <c r="C7" s="33">
        <f>'Récap MEAUX II 2025'!E84</f>
        <v/>
      </c>
      <c r="D7" s="33">
        <f>B7*C7</f>
        <v/>
      </c>
      <c r="E7" s="34">
        <f>Paramètres!$J$9/365</f>
        <v/>
      </c>
      <c r="F7" s="33">
        <f>D7*E7</f>
        <v/>
      </c>
    </row>
    <row r="8" ht="15.05" customHeight="1">
      <c r="A8" s="31" t="inlineStr">
        <is>
          <t>Vérifications règlementaires</t>
        </is>
      </c>
      <c r="B8" s="32">
        <f>Paramètres!$C$9/Paramètres!$C$3</f>
        <v/>
      </c>
      <c r="C8" s="33">
        <f>'Récap MEAUX II 2025'!E127</f>
        <v/>
      </c>
      <c r="D8" s="33">
        <f>B8*C8</f>
        <v/>
      </c>
      <c r="E8" s="34">
        <f>Paramètres!$J$9/365</f>
        <v/>
      </c>
      <c r="F8" s="33">
        <f>D8*E8</f>
        <v/>
      </c>
    </row>
    <row r="9" ht="18" customHeight="1">
      <c r="A9" s="9" t="inlineStr">
        <is>
          <t>Sous-total — CONTRAT MAINTENANCE</t>
        </is>
      </c>
      <c r="C9" s="10">
        <f>SUM(C7:C8)</f>
        <v/>
      </c>
      <c r="D9" s="10">
        <f>SUM(D7:D8)</f>
        <v/>
      </c>
      <c r="E9" s="35" t="n"/>
      <c r="F9" s="10">
        <f>SUM(F7:F8)</f>
        <v/>
      </c>
    </row>
    <row r="10" ht="6" customHeight="1"/>
    <row r="11" ht="20" customHeight="1">
      <c r="A11" s="13" t="inlineStr">
        <is>
          <t>CHARGES BÂTIMENT — MEAUX II</t>
        </is>
      </c>
    </row>
    <row r="12" ht="18" customHeight="1">
      <c r="A12" s="5" t="inlineStr">
        <is>
          <t>FLUIDES</t>
        </is>
      </c>
    </row>
    <row r="13" ht="15.05" customHeight="1">
      <c r="A13" s="31" t="inlineStr">
        <is>
          <t>Eau</t>
        </is>
      </c>
      <c r="B13" s="32">
        <f>Paramètres!$C$9/38590.0</f>
        <v/>
      </c>
      <c r="C13" s="33">
        <f>'Récap MEAUX II 2025'!E8</f>
        <v/>
      </c>
      <c r="D13" s="33">
        <f>B13*C13</f>
        <v/>
      </c>
      <c r="E13" s="34">
        <f>Paramètres!$H$9/365</f>
        <v/>
      </c>
      <c r="F13" s="33">
        <f>D13*E13</f>
        <v/>
      </c>
    </row>
    <row r="14" ht="15.05" customHeight="1">
      <c r="A14" s="31" t="inlineStr">
        <is>
          <t>Eau - Incendie</t>
        </is>
      </c>
      <c r="B14" s="32">
        <f>Paramètres!$C$9/38590.0</f>
        <v/>
      </c>
      <c r="C14" s="33">
        <f>'Récap MEAUX II 2025'!E12</f>
        <v/>
      </c>
      <c r="D14" s="33">
        <f>B14*C14</f>
        <v/>
      </c>
      <c r="E14" s="34">
        <f>Paramètres!$H$9/365</f>
        <v/>
      </c>
      <c r="F14" s="33">
        <f>D14*E14</f>
        <v/>
      </c>
    </row>
    <row r="15" ht="15.05" customHeight="1">
      <c r="A15" s="31" t="inlineStr">
        <is>
          <t>Electricité</t>
        </is>
      </c>
      <c r="B15" s="32">
        <f>Paramètres!$C$9/38590.0</f>
        <v/>
      </c>
      <c r="C15" s="33">
        <f>'Récap MEAUX II 2025'!E26</f>
        <v/>
      </c>
      <c r="D15" s="33">
        <f>B15*C15</f>
        <v/>
      </c>
      <c r="E15" s="34">
        <f>Paramètres!$H$9/365</f>
        <v/>
      </c>
      <c r="F15" s="33">
        <f>D15*E15</f>
        <v/>
      </c>
    </row>
    <row r="16" ht="15.05" customHeight="1">
      <c r="A16" s="31" t="inlineStr">
        <is>
          <t>Gaz</t>
        </is>
      </c>
      <c r="B16" s="32">
        <f>Paramètres!$C$9/38590.0</f>
        <v/>
      </c>
      <c r="C16" s="33">
        <f>'Récap MEAUX II 2025'!E40</f>
        <v/>
      </c>
      <c r="D16" s="33">
        <f>B16*C16</f>
        <v/>
      </c>
      <c r="E16" s="34">
        <f>Paramètres!$H$9/365</f>
        <v/>
      </c>
      <c r="F16" s="33">
        <f>D16*E16</f>
        <v/>
      </c>
    </row>
    <row r="17" ht="18" customHeight="1">
      <c r="A17" s="9" t="inlineStr">
        <is>
          <t>Sous-total — FLUIDES</t>
        </is>
      </c>
      <c r="C17" s="10">
        <f>SUM(C13:C16)</f>
        <v/>
      </c>
      <c r="D17" s="10">
        <f>SUM(D13:D16)</f>
        <v/>
      </c>
      <c r="E17" s="35" t="n"/>
      <c r="F17" s="10">
        <f>SUM(F13:F16)</f>
        <v/>
      </c>
    </row>
    <row r="18" ht="18" customHeight="1">
      <c r="A18" s="5" t="inlineStr">
        <is>
          <t>HONORAIRES</t>
        </is>
      </c>
    </row>
    <row r="19" ht="15.05" customHeight="1">
      <c r="A19" s="31" t="inlineStr">
        <is>
          <t>Honoraires Divers</t>
        </is>
      </c>
      <c r="B19" s="32">
        <f>Paramètres!$C$9/38590.0</f>
        <v/>
      </c>
      <c r="C19" s="33">
        <f>'Récap MEAUX II 2025'!E45</f>
        <v/>
      </c>
      <c r="D19" s="33">
        <f>B19*C19</f>
        <v/>
      </c>
      <c r="E19" s="34">
        <f>Paramètres!$J$9/365</f>
        <v/>
      </c>
      <c r="F19" s="33">
        <f>D19*E19</f>
        <v/>
      </c>
    </row>
    <row r="20" ht="18" customHeight="1">
      <c r="A20" s="9" t="inlineStr">
        <is>
          <t>Sous-total — HONORAIRES</t>
        </is>
      </c>
      <c r="C20" s="10">
        <f>SUM(C19:C19)</f>
        <v/>
      </c>
      <c r="D20" s="10">
        <f>SUM(D19:D19)</f>
        <v/>
      </c>
      <c r="E20" s="35" t="n"/>
      <c r="F20" s="10">
        <f>SUM(F19:F19)</f>
        <v/>
      </c>
    </row>
    <row r="21" ht="18" customHeight="1">
      <c r="A21" s="5" t="inlineStr">
        <is>
          <t>TRAVAUX</t>
        </is>
      </c>
    </row>
    <row r="22" ht="15.05" customHeight="1">
      <c r="A22" s="31" t="inlineStr">
        <is>
          <t>Entretien Courant</t>
        </is>
      </c>
      <c r="B22" s="32">
        <f>Paramètres!$C$9/38590.0</f>
        <v/>
      </c>
      <c r="C22" s="33">
        <f>'Récap MEAUX II 2025'!E63</f>
        <v/>
      </c>
      <c r="D22" s="33">
        <f>B22*C22</f>
        <v/>
      </c>
      <c r="E22" s="34">
        <f>Paramètres!$J$9/365</f>
        <v/>
      </c>
      <c r="F22" s="33">
        <f>D22*E22</f>
        <v/>
      </c>
    </row>
    <row r="23" ht="18" customHeight="1">
      <c r="A23" s="9" t="inlineStr">
        <is>
          <t>Sous-total — TRAVAUX</t>
        </is>
      </c>
      <c r="C23" s="10">
        <f>SUM(C22:C22)</f>
        <v/>
      </c>
      <c r="D23" s="10">
        <f>SUM(D22:D22)</f>
        <v/>
      </c>
      <c r="E23" s="35" t="n"/>
      <c r="F23" s="10">
        <f>SUM(F22:F22)</f>
        <v/>
      </c>
    </row>
    <row r="24" ht="18" customHeight="1">
      <c r="A24" s="5" t="inlineStr">
        <is>
          <t>CONTRAT MAINTENANCE</t>
        </is>
      </c>
    </row>
    <row r="25" ht="15.05" customHeight="1">
      <c r="A25" s="31" t="inlineStr">
        <is>
          <t>Ascenseur</t>
        </is>
      </c>
      <c r="B25" s="32">
        <f>Paramètres!$C$9/38590.0</f>
        <v/>
      </c>
      <c r="C25" s="33">
        <f>'Récap MEAUX II 2025'!E67</f>
        <v/>
      </c>
      <c r="D25" s="33">
        <f>B25*C25</f>
        <v/>
      </c>
      <c r="E25" s="34">
        <f>Paramètres!$J$9/365</f>
        <v/>
      </c>
      <c r="F25" s="33">
        <f>D25*E25</f>
        <v/>
      </c>
    </row>
    <row r="26" ht="15.05" customHeight="1">
      <c r="A26" s="31" t="inlineStr">
        <is>
          <t>Chaufferie</t>
        </is>
      </c>
      <c r="B26" s="32">
        <f>Paramètres!$C$9/38590.0</f>
        <v/>
      </c>
      <c r="C26" s="33">
        <f>'Récap MEAUX II 2025'!E71</f>
        <v/>
      </c>
      <c r="D26" s="33">
        <f>B26*C26</f>
        <v/>
      </c>
      <c r="E26" s="34">
        <f>Paramètres!$J$9/365</f>
        <v/>
      </c>
      <c r="F26" s="33">
        <f>D26*E26</f>
        <v/>
      </c>
    </row>
    <row r="27" ht="15.05" customHeight="1">
      <c r="A27" s="31" t="inlineStr">
        <is>
          <t>Désenfumage</t>
        </is>
      </c>
      <c r="B27" s="32">
        <f>Paramètres!$C$9/38590.0</f>
        <v/>
      </c>
      <c r="C27" s="33">
        <f>'Récap MEAUX II 2025'!E74</f>
        <v/>
      </c>
      <c r="D27" s="33">
        <f>B27*C27</f>
        <v/>
      </c>
      <c r="E27" s="34">
        <f>Paramètres!$J$9/365</f>
        <v/>
      </c>
      <c r="F27" s="33">
        <f>D27*E27</f>
        <v/>
      </c>
    </row>
    <row r="28" ht="15.05" customHeight="1">
      <c r="A28" s="31" t="inlineStr">
        <is>
          <t>Espaces verts</t>
        </is>
      </c>
      <c r="B28" s="32">
        <f>Paramètres!$C$9/38590.0</f>
        <v/>
      </c>
      <c r="C28" s="33">
        <f>'Récap MEAUX II 2025'!E81</f>
        <v/>
      </c>
      <c r="D28" s="33">
        <f>B28*C28</f>
        <v/>
      </c>
      <c r="E28" s="34">
        <f>Paramètres!$J$9/365</f>
        <v/>
      </c>
      <c r="F28" s="33">
        <f>D28*E28</f>
        <v/>
      </c>
    </row>
    <row r="29" ht="15.05" customHeight="1">
      <c r="A29" s="31" t="inlineStr">
        <is>
          <t>Portails + Barrières automatiques</t>
        </is>
      </c>
      <c r="B29" s="32">
        <f>Paramètres!$C$9/38590.0</f>
        <v/>
      </c>
      <c r="C29" s="33">
        <f>'Récap MEAUX II 2025'!E84</f>
        <v/>
      </c>
      <c r="D29" s="33">
        <f>B29*C29</f>
        <v/>
      </c>
      <c r="E29" s="34">
        <f>Paramètres!$J$9/365</f>
        <v/>
      </c>
      <c r="F29" s="33">
        <f>D29*E29</f>
        <v/>
      </c>
    </row>
    <row r="30" ht="15.05" customHeight="1">
      <c r="A30" s="31" t="inlineStr">
        <is>
          <t>Portes Coupe-Feu</t>
        </is>
      </c>
      <c r="B30" s="32">
        <f>Paramètres!$C$9/38590.0</f>
        <v/>
      </c>
      <c r="C30" s="33">
        <f>'Récap MEAUX II 2025'!E87</f>
        <v/>
      </c>
      <c r="D30" s="33">
        <f>B30*C30</f>
        <v/>
      </c>
      <c r="E30" s="34">
        <f>Paramètres!$J$9/365</f>
        <v/>
      </c>
      <c r="F30" s="33">
        <f>D30*E30</f>
        <v/>
      </c>
    </row>
    <row r="31" ht="15.05" customHeight="1">
      <c r="A31" s="31" t="inlineStr">
        <is>
          <t>Protection foudre</t>
        </is>
      </c>
      <c r="B31" s="32">
        <f>Paramètres!$C$9/38590.0</f>
        <v/>
      </c>
      <c r="C31" s="33">
        <f>'Récap MEAUX II 2025'!E90</f>
        <v/>
      </c>
      <c r="D31" s="33">
        <f>B31*C31</f>
        <v/>
      </c>
      <c r="E31" s="34">
        <f>Paramètres!$J$9/365</f>
        <v/>
      </c>
      <c r="F31" s="33">
        <f>D31*E31</f>
        <v/>
      </c>
    </row>
    <row r="32" ht="15.05" customHeight="1">
      <c r="A32" s="31" t="inlineStr">
        <is>
          <t>Quais &amp; Portes sectionnelles</t>
        </is>
      </c>
      <c r="B32" s="32">
        <f>Paramètres!$C$9/38590.0</f>
        <v/>
      </c>
      <c r="C32" s="33">
        <f>'Récap MEAUX II 2025'!E93</f>
        <v/>
      </c>
      <c r="D32" s="33">
        <f>B32*C32</f>
        <v/>
      </c>
      <c r="E32" s="34">
        <f>Paramètres!$J$9/365</f>
        <v/>
      </c>
      <c r="F32" s="33">
        <f>D32*E32</f>
        <v/>
      </c>
    </row>
    <row r="33" ht="15.05" customHeight="1">
      <c r="A33" s="31" t="inlineStr">
        <is>
          <t>Séparateur hydro.</t>
        </is>
      </c>
      <c r="B33" s="32">
        <f>Paramètres!$C$9/38590.0</f>
        <v/>
      </c>
      <c r="C33" s="33">
        <f>'Récap MEAUX II 2025'!E96</f>
        <v/>
      </c>
      <c r="D33" s="33">
        <f>B33*C33</f>
        <v/>
      </c>
      <c r="E33" s="34">
        <f>Paramètres!$J$9/365</f>
        <v/>
      </c>
      <c r="F33" s="33">
        <f>D33*E33</f>
        <v/>
      </c>
    </row>
    <row r="34" ht="15.05" customHeight="1">
      <c r="A34" s="31" t="inlineStr">
        <is>
          <t>Sprinklers - RIA - PI - Fioul</t>
        </is>
      </c>
      <c r="B34" s="32">
        <f>Paramètres!$C$9/38590.0</f>
        <v/>
      </c>
      <c r="C34" s="33">
        <f>'Récap MEAUX II 2025'!E102</f>
        <v/>
      </c>
      <c r="D34" s="33">
        <f>B34*C34</f>
        <v/>
      </c>
      <c r="E34" s="34">
        <f>Paramètres!$J$9/365</f>
        <v/>
      </c>
      <c r="F34" s="33">
        <f>D34*E34</f>
        <v/>
      </c>
    </row>
    <row r="35" ht="15.05" customHeight="1">
      <c r="A35" s="31" t="inlineStr">
        <is>
          <t>SSI</t>
        </is>
      </c>
      <c r="B35" s="32">
        <f>Paramètres!$C$9/38590.0</f>
        <v/>
      </c>
      <c r="C35" s="33">
        <f>'Récap MEAUX II 2025'!E105</f>
        <v/>
      </c>
      <c r="D35" s="33">
        <f>B35*C35</f>
        <v/>
      </c>
      <c r="E35" s="34">
        <f>Paramètres!$J$9/365</f>
        <v/>
      </c>
      <c r="F35" s="33">
        <f>D35*E35</f>
        <v/>
      </c>
    </row>
    <row r="36" ht="15.05" customHeight="1">
      <c r="A36" s="31" t="inlineStr">
        <is>
          <t>Télésurveillance</t>
        </is>
      </c>
      <c r="B36" s="32">
        <f>Paramètres!$C$9/38590.0</f>
        <v/>
      </c>
      <c r="C36" s="33">
        <f>'Récap MEAUX II 2025'!E119</f>
        <v/>
      </c>
      <c r="D36" s="33">
        <f>B36*C36</f>
        <v/>
      </c>
      <c r="E36" s="34">
        <f>Paramètres!$J$9/365</f>
        <v/>
      </c>
      <c r="F36" s="33">
        <f>D36*E36</f>
        <v/>
      </c>
    </row>
    <row r="37" ht="15.05" customHeight="1">
      <c r="A37" s="31" t="inlineStr">
        <is>
          <t>Toiture</t>
        </is>
      </c>
      <c r="B37" s="32">
        <f>Paramètres!$C$9/38590.0</f>
        <v/>
      </c>
      <c r="C37" s="33">
        <f>'Récap MEAUX II 2025'!E123</f>
        <v/>
      </c>
      <c r="D37" s="33">
        <f>B37*C37</f>
        <v/>
      </c>
      <c r="E37" s="34">
        <f>Paramètres!$J$9/365</f>
        <v/>
      </c>
      <c r="F37" s="33">
        <f>D37*E37</f>
        <v/>
      </c>
    </row>
    <row r="38" ht="15.05" customHeight="1">
      <c r="A38" s="31" t="inlineStr">
        <is>
          <t>Vérifications règlementaires</t>
        </is>
      </c>
      <c r="B38" s="32">
        <f>Paramètres!$C$9/38590.0</f>
        <v/>
      </c>
      <c r="C38" s="33">
        <f>'Récap MEAUX II 2025'!E127</f>
        <v/>
      </c>
      <c r="D38" s="33">
        <f>B38*C38</f>
        <v/>
      </c>
      <c r="E38" s="34">
        <f>Paramètres!$J$9/365</f>
        <v/>
      </c>
      <c r="F38" s="33">
        <f>D38*E38</f>
        <v/>
      </c>
    </row>
    <row r="39" ht="18" customHeight="1">
      <c r="A39" s="9" t="inlineStr">
        <is>
          <t>Sous-total — CONTRAT MAINTENANCE</t>
        </is>
      </c>
      <c r="C39" s="10">
        <f>SUM(C25:C38)</f>
        <v/>
      </c>
      <c r="D39" s="10">
        <f>SUM(D25:D38)</f>
        <v/>
      </c>
      <c r="E39" s="35" t="n"/>
      <c r="F39" s="10">
        <f>SUM(F25:F38)</f>
        <v/>
      </c>
    </row>
    <row r="40" ht="18" customHeight="1">
      <c r="A40" s="5" t="inlineStr">
        <is>
          <t>TAXES</t>
        </is>
      </c>
    </row>
    <row r="41" ht="15.05" customHeight="1">
      <c r="A41" s="31" t="inlineStr">
        <is>
          <t>Taxe Bureau &amp; Stationnement</t>
        </is>
      </c>
      <c r="B41" s="32">
        <f>Paramètres!$C$9/38590.0</f>
        <v/>
      </c>
      <c r="C41" s="33">
        <f>'Récap MEAUX II 2025'!E132</f>
        <v/>
      </c>
      <c r="D41" s="33">
        <f>B41*C41</f>
        <v/>
      </c>
      <c r="E41" s="34">
        <f>Paramètres!$J$9/365</f>
        <v/>
      </c>
      <c r="F41" s="33">
        <f>D41*E41</f>
        <v/>
      </c>
    </row>
    <row r="42" ht="18" customHeight="1">
      <c r="A42" s="9" t="inlineStr">
        <is>
          <t>Sous-total — TAXES</t>
        </is>
      </c>
      <c r="C42" s="10">
        <f>SUM(C41:C41)</f>
        <v/>
      </c>
      <c r="D42" s="10">
        <f>SUM(D41:D41)</f>
        <v/>
      </c>
      <c r="E42" s="35" t="n"/>
      <c r="F42" s="10">
        <f>SUM(F41:F41)</f>
        <v/>
      </c>
    </row>
    <row r="43" ht="6" customHeight="1"/>
    <row r="44" ht="7.55" customHeight="1"/>
    <row r="45" ht="21.75" customHeight="1">
      <c r="A45" s="13" t="inlineStr">
        <is>
          <t>TOTAL CHARGES RÉCUPÉRABLES RÉELLES (€ HT)</t>
        </is>
      </c>
      <c r="C45" s="14">
        <f>C9+C17+C20+C23+C39+C42</f>
        <v/>
      </c>
      <c r="D45" s="14">
        <f>D9+D17+D20+D23+D39+D42</f>
        <v/>
      </c>
      <c r="E45" s="38" t="n"/>
      <c r="F45" s="14">
        <f>F9+F17+F20+F23+F39+F42</f>
        <v/>
      </c>
    </row>
    <row r="46" ht="7.55" customHeight="1"/>
    <row r="47" ht="19.55" customHeight="1">
      <c r="A47" s="5" t="inlineStr">
        <is>
          <t>Provisions pour charges versées</t>
        </is>
      </c>
      <c r="C47" s="39" t="n"/>
      <c r="D47" s="27" t="inlineStr">
        <is>
          <t>Montant annuel (€)</t>
        </is>
      </c>
      <c r="E47" s="39" t="n"/>
      <c r="F47" s="27" t="inlineStr">
        <is>
          <t>Montant locataire (€)</t>
        </is>
      </c>
    </row>
    <row r="48" ht="15.8" customHeight="1">
      <c r="A48" s="20" t="inlineStr">
        <is>
          <t xml:space="preserve">  1er trimestre (T1)</t>
        </is>
      </c>
    </row>
    <row r="49" ht="15.8" customHeight="1">
      <c r="A49" s="20" t="inlineStr">
        <is>
          <t xml:space="preserve">  2e trimestre (T2)</t>
        </is>
      </c>
    </row>
    <row r="50" ht="15.8" customHeight="1">
      <c r="A50" s="20" t="inlineStr">
        <is>
          <t xml:space="preserve">  3e trimestre (T3)</t>
        </is>
      </c>
    </row>
    <row r="51" ht="15.8" customHeight="1">
      <c r="A51" s="20" t="inlineStr">
        <is>
          <t xml:space="preserve">  4e trimestre (T4)</t>
        </is>
      </c>
    </row>
    <row r="52" ht="18" customHeight="1">
      <c r="A52" s="9" t="inlineStr">
        <is>
          <t>Total provisions pour charges versées →</t>
        </is>
      </c>
      <c r="D52" s="10">
        <f>SUM(D48:D51)</f>
        <v/>
      </c>
      <c r="E52" s="35" t="n"/>
      <c r="F52" s="10">
        <f>SUM(F48:F51)</f>
        <v/>
      </c>
    </row>
    <row r="53" ht="7.55" customHeight="1"/>
    <row r="54" ht="21.75" customHeight="1">
      <c r="A54" s="40">
        <f>IF(F45-F52&gt;0,"SOLDE DÉBITEUR","SOLDE CRÉDITEUR")</f>
        <v/>
      </c>
      <c r="D54" s="41">
        <f>D45-D52</f>
        <v/>
      </c>
      <c r="E54" s="39" t="n"/>
      <c r="F54" s="41">
        <f>F45-F52</f>
        <v/>
      </c>
    </row>
    <row r="56" ht="27.75" customHeight="1">
      <c r="A56" s="42" t="inlineStr">
        <is>
          <t>ℹ  Clé répartition = surface lot ÷ surface totale site. Période = nombre de jours d'occupation ÷ 365.</t>
        </is>
      </c>
    </row>
  </sheetData>
  <mergeCells count="22">
    <mergeCell ref="A45:B45"/>
    <mergeCell ref="A12:F12"/>
    <mergeCell ref="A18:F18"/>
    <mergeCell ref="A56:F56"/>
    <mergeCell ref="A3:F3"/>
    <mergeCell ref="A21:F21"/>
    <mergeCell ref="A54:C54"/>
    <mergeCell ref="A2:F2"/>
    <mergeCell ref="A5:F5"/>
    <mergeCell ref="A52:C52"/>
    <mergeCell ref="A47:B47"/>
    <mergeCell ref="A42:B42"/>
    <mergeCell ref="A40:F40"/>
    <mergeCell ref="A23:B23"/>
    <mergeCell ref="A17:B17"/>
    <mergeCell ref="A24:F24"/>
    <mergeCell ref="A11:F11"/>
    <mergeCell ref="A20:B20"/>
    <mergeCell ref="A1:F1"/>
    <mergeCell ref="A6:F6"/>
    <mergeCell ref="A9:B9"/>
    <mergeCell ref="A39:B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2" customWidth="1" min="5" max="5"/>
    <col width="15" customWidth="1" min="6" max="6"/>
  </cols>
  <sheetData>
    <row r="1" ht="25.55" customHeight="1">
      <c r="A1" s="30" t="inlineStr">
        <is>
          <t>RÉGULARISATION DE CHARGES — C3</t>
        </is>
      </c>
    </row>
    <row r="2" ht="15.8" customHeight="1">
      <c r="A2" s="2" t="inlineStr">
        <is>
          <t>Site : MEAUX PN01  |  Année 2025</t>
        </is>
      </c>
    </row>
    <row r="3" ht="15.8" customHeight="1">
      <c r="A3" s="2">
        <f>Paramètres!$B$10&amp;IF(Paramètres!$E$10&lt;&gt;""," — "&amp;Paramètres!$E$10,"")</f>
        <v/>
      </c>
    </row>
    <row r="4" ht="19.55" customHeight="1">
      <c r="A4" s="3" t="inlineStr">
        <is>
          <t>Poste</t>
        </is>
      </c>
      <c r="B4" s="3" t="inlineStr">
        <is>
          <t>Clé répartition</t>
        </is>
      </c>
      <c r="C4" s="3" t="inlineStr">
        <is>
          <t>Total HT</t>
        </is>
      </c>
      <c r="D4" s="3" t="inlineStr">
        <is>
          <t>QP annuelle</t>
        </is>
      </c>
      <c r="E4" s="3" t="inlineStr">
        <is>
          <t>Période</t>
        </is>
      </c>
      <c r="F4" s="3" t="inlineStr">
        <is>
          <t>QP locataire</t>
        </is>
      </c>
    </row>
    <row r="5" ht="20" customHeight="1">
      <c r="A5" s="13" t="inlineStr">
        <is>
          <t>CHARGES SITE — MEAUX PN01</t>
        </is>
      </c>
    </row>
    <row r="6" ht="18" customHeight="1">
      <c r="A6" s="5" t="inlineStr">
        <is>
          <t>CONTRAT MAINTENANCE</t>
        </is>
      </c>
    </row>
    <row r="7" ht="15.05" customHeight="1">
      <c r="A7" s="31" t="inlineStr">
        <is>
          <t>Portails + Barrières automatiques</t>
        </is>
      </c>
      <c r="B7" s="32">
        <f>Paramètres!$C$10/Paramètres!$C$3</f>
        <v/>
      </c>
      <c r="C7" s="33">
        <f>'Récap MEAUX II 2025'!E84</f>
        <v/>
      </c>
      <c r="D7" s="33">
        <f>B7*C7</f>
        <v/>
      </c>
      <c r="E7" s="34">
        <f>Paramètres!$J$10/365</f>
        <v/>
      </c>
      <c r="F7" s="33">
        <f>D7*E7</f>
        <v/>
      </c>
    </row>
    <row r="8" ht="15.05" customHeight="1">
      <c r="A8" s="31" t="inlineStr">
        <is>
          <t>Vérifications règlementaires</t>
        </is>
      </c>
      <c r="B8" s="32">
        <f>Paramètres!$C$10/Paramètres!$C$3</f>
        <v/>
      </c>
      <c r="C8" s="33">
        <f>'Récap MEAUX II 2025'!E127</f>
        <v/>
      </c>
      <c r="D8" s="33">
        <f>B8*C8</f>
        <v/>
      </c>
      <c r="E8" s="34">
        <f>Paramètres!$J$10/365</f>
        <v/>
      </c>
      <c r="F8" s="33">
        <f>D8*E8</f>
        <v/>
      </c>
    </row>
    <row r="9" ht="18" customHeight="1">
      <c r="A9" s="9" t="inlineStr">
        <is>
          <t>Sous-total — CONTRAT MAINTENANCE</t>
        </is>
      </c>
      <c r="C9" s="10">
        <f>SUM(C7:C8)</f>
        <v/>
      </c>
      <c r="D9" s="10">
        <f>SUM(D7:D8)</f>
        <v/>
      </c>
      <c r="E9" s="35" t="n"/>
      <c r="F9" s="10">
        <f>SUM(F7:F8)</f>
        <v/>
      </c>
    </row>
    <row r="10" ht="6" customHeight="1"/>
    <row r="11" ht="20" customHeight="1">
      <c r="A11" s="13" t="inlineStr">
        <is>
          <t>CHARGES BÂTIMENT — MEAUX II</t>
        </is>
      </c>
    </row>
    <row r="12" ht="18" customHeight="1">
      <c r="A12" s="5" t="inlineStr">
        <is>
          <t>FLUIDES</t>
        </is>
      </c>
    </row>
    <row r="13" ht="15.05" customHeight="1">
      <c r="A13" s="31" t="inlineStr">
        <is>
          <t>Eau</t>
        </is>
      </c>
      <c r="B13" s="32">
        <f>Paramètres!$C$10/38590.0</f>
        <v/>
      </c>
      <c r="C13" s="33">
        <f>'Récap MEAUX II 2025'!E8</f>
        <v/>
      </c>
      <c r="D13" s="33">
        <f>B13*C13</f>
        <v/>
      </c>
      <c r="E13" s="34">
        <f>Paramètres!$H$10/365</f>
        <v/>
      </c>
      <c r="F13" s="33">
        <f>D13*E13</f>
        <v/>
      </c>
    </row>
    <row r="14" ht="15.05" customHeight="1">
      <c r="A14" s="31" t="inlineStr">
        <is>
          <t>Eau - Incendie</t>
        </is>
      </c>
      <c r="B14" s="32">
        <f>Paramètres!$C$10/38590.0</f>
        <v/>
      </c>
      <c r="C14" s="33">
        <f>'Récap MEAUX II 2025'!E12</f>
        <v/>
      </c>
      <c r="D14" s="33">
        <f>B14*C14</f>
        <v/>
      </c>
      <c r="E14" s="34">
        <f>Paramètres!$H$10/365</f>
        <v/>
      </c>
      <c r="F14" s="33">
        <f>D14*E14</f>
        <v/>
      </c>
    </row>
    <row r="15" ht="15.05" customHeight="1">
      <c r="A15" s="31" t="inlineStr">
        <is>
          <t>Electricité</t>
        </is>
      </c>
      <c r="B15" s="32">
        <f>Paramètres!$C$10/38590.0</f>
        <v/>
      </c>
      <c r="C15" s="33">
        <f>'Récap MEAUX II 2025'!E26</f>
        <v/>
      </c>
      <c r="D15" s="33">
        <f>B15*C15</f>
        <v/>
      </c>
      <c r="E15" s="34">
        <f>Paramètres!$H$10/365</f>
        <v/>
      </c>
      <c r="F15" s="33">
        <f>D15*E15</f>
        <v/>
      </c>
    </row>
    <row r="16" ht="15.05" customHeight="1">
      <c r="A16" s="31" t="inlineStr">
        <is>
          <t>Gaz</t>
        </is>
      </c>
      <c r="B16" s="32">
        <f>Paramètres!$C$10/38590.0</f>
        <v/>
      </c>
      <c r="C16" s="33">
        <f>'Récap MEAUX II 2025'!E40</f>
        <v/>
      </c>
      <c r="D16" s="33">
        <f>B16*C16</f>
        <v/>
      </c>
      <c r="E16" s="34">
        <f>Paramètres!$H$10/365</f>
        <v/>
      </c>
      <c r="F16" s="33">
        <f>D16*E16</f>
        <v/>
      </c>
    </row>
    <row r="17" ht="18" customHeight="1">
      <c r="A17" s="9" t="inlineStr">
        <is>
          <t>Sous-total — FLUIDES</t>
        </is>
      </c>
      <c r="C17" s="10">
        <f>SUM(C13:C16)</f>
        <v/>
      </c>
      <c r="D17" s="10">
        <f>SUM(D13:D16)</f>
        <v/>
      </c>
      <c r="E17" s="35" t="n"/>
      <c r="F17" s="10">
        <f>SUM(F13:F16)</f>
        <v/>
      </c>
    </row>
    <row r="18" ht="18" customHeight="1">
      <c r="A18" s="5" t="inlineStr">
        <is>
          <t>HONORAIRES</t>
        </is>
      </c>
    </row>
    <row r="19" ht="15.05" customHeight="1">
      <c r="A19" s="31" t="inlineStr">
        <is>
          <t>Honoraires Divers</t>
        </is>
      </c>
      <c r="B19" s="32">
        <f>Paramètres!$C$10/38590.0</f>
        <v/>
      </c>
      <c r="C19" s="33">
        <f>'Récap MEAUX II 2025'!E45</f>
        <v/>
      </c>
      <c r="D19" s="33">
        <f>B19*C19</f>
        <v/>
      </c>
      <c r="E19" s="34">
        <f>Paramètres!$J$10/365</f>
        <v/>
      </c>
      <c r="F19" s="33">
        <f>D19*E19</f>
        <v/>
      </c>
    </row>
    <row r="20" ht="18" customHeight="1">
      <c r="A20" s="9" t="inlineStr">
        <is>
          <t>Sous-total — HONORAIRES</t>
        </is>
      </c>
      <c r="C20" s="10">
        <f>SUM(C19:C19)</f>
        <v/>
      </c>
      <c r="D20" s="10">
        <f>SUM(D19:D19)</f>
        <v/>
      </c>
      <c r="E20" s="35" t="n"/>
      <c r="F20" s="10">
        <f>SUM(F19:F19)</f>
        <v/>
      </c>
    </row>
    <row r="21" ht="18" customHeight="1">
      <c r="A21" s="5" t="inlineStr">
        <is>
          <t>TRAVAUX</t>
        </is>
      </c>
    </row>
    <row r="22" ht="15.05" customHeight="1">
      <c r="A22" s="31" t="inlineStr">
        <is>
          <t>Entretien Courant</t>
        </is>
      </c>
      <c r="B22" s="32">
        <f>Paramètres!$C$10/38590.0</f>
        <v/>
      </c>
      <c r="C22" s="33">
        <f>'Récap MEAUX II 2025'!E63</f>
        <v/>
      </c>
      <c r="D22" s="33">
        <f>B22*C22</f>
        <v/>
      </c>
      <c r="E22" s="34">
        <f>Paramètres!$J$10/365</f>
        <v/>
      </c>
      <c r="F22" s="33">
        <f>D22*E22</f>
        <v/>
      </c>
    </row>
    <row r="23" ht="18" customHeight="1">
      <c r="A23" s="9" t="inlineStr">
        <is>
          <t>Sous-total — TRAVAUX</t>
        </is>
      </c>
      <c r="C23" s="10">
        <f>SUM(C22:C22)</f>
        <v/>
      </c>
      <c r="D23" s="10">
        <f>SUM(D22:D22)</f>
        <v/>
      </c>
      <c r="E23" s="35" t="n"/>
      <c r="F23" s="10">
        <f>SUM(F22:F22)</f>
        <v/>
      </c>
    </row>
    <row r="24" ht="18" customHeight="1">
      <c r="A24" s="5" t="inlineStr">
        <is>
          <t>CONTRAT MAINTENANCE</t>
        </is>
      </c>
    </row>
    <row r="25" ht="15.05" customHeight="1">
      <c r="A25" s="31" t="inlineStr">
        <is>
          <t>Ascenseur</t>
        </is>
      </c>
      <c r="B25" s="32">
        <f>Paramètres!$C$10/38590.0</f>
        <v/>
      </c>
      <c r="C25" s="33">
        <f>'Récap MEAUX II 2025'!E67</f>
        <v/>
      </c>
      <c r="D25" s="33">
        <f>B25*C25</f>
        <v/>
      </c>
      <c r="E25" s="34">
        <f>Paramètres!$J$10/365</f>
        <v/>
      </c>
      <c r="F25" s="33">
        <f>D25*E25</f>
        <v/>
      </c>
    </row>
    <row r="26" ht="15.05" customHeight="1">
      <c r="A26" s="31" t="inlineStr">
        <is>
          <t>Chaufferie</t>
        </is>
      </c>
      <c r="B26" s="32">
        <f>Paramètres!$C$10/38590.0</f>
        <v/>
      </c>
      <c r="C26" s="33">
        <f>'Récap MEAUX II 2025'!E71</f>
        <v/>
      </c>
      <c r="D26" s="33">
        <f>B26*C26</f>
        <v/>
      </c>
      <c r="E26" s="34">
        <f>Paramètres!$J$10/365</f>
        <v/>
      </c>
      <c r="F26" s="33">
        <f>D26*E26</f>
        <v/>
      </c>
    </row>
    <row r="27" ht="15.05" customHeight="1">
      <c r="A27" s="31" t="inlineStr">
        <is>
          <t>Désenfumage</t>
        </is>
      </c>
      <c r="B27" s="32">
        <f>Paramètres!$C$10/38590.0</f>
        <v/>
      </c>
      <c r="C27" s="33">
        <f>'Récap MEAUX II 2025'!E74</f>
        <v/>
      </c>
      <c r="D27" s="33">
        <f>B27*C27</f>
        <v/>
      </c>
      <c r="E27" s="34">
        <f>Paramètres!$J$10/365</f>
        <v/>
      </c>
      <c r="F27" s="33">
        <f>D27*E27</f>
        <v/>
      </c>
    </row>
    <row r="28" ht="15.05" customHeight="1">
      <c r="A28" s="31" t="inlineStr">
        <is>
          <t>Espaces verts</t>
        </is>
      </c>
      <c r="B28" s="32">
        <f>Paramètres!$C$10/38590.0</f>
        <v/>
      </c>
      <c r="C28" s="33">
        <f>'Récap MEAUX II 2025'!E81</f>
        <v/>
      </c>
      <c r="D28" s="33">
        <f>B28*C28</f>
        <v/>
      </c>
      <c r="E28" s="34">
        <f>Paramètres!$J$10/365</f>
        <v/>
      </c>
      <c r="F28" s="33">
        <f>D28*E28</f>
        <v/>
      </c>
    </row>
    <row r="29" ht="15.05" customHeight="1">
      <c r="A29" s="31" t="inlineStr">
        <is>
          <t>Portails + Barrières automatiques</t>
        </is>
      </c>
      <c r="B29" s="32">
        <f>Paramètres!$C$10/38590.0</f>
        <v/>
      </c>
      <c r="C29" s="33">
        <f>'Récap MEAUX II 2025'!E84</f>
        <v/>
      </c>
      <c r="D29" s="33">
        <f>B29*C29</f>
        <v/>
      </c>
      <c r="E29" s="34">
        <f>Paramètres!$J$10/365</f>
        <v/>
      </c>
      <c r="F29" s="33">
        <f>D29*E29</f>
        <v/>
      </c>
    </row>
    <row r="30" ht="15.05" customHeight="1">
      <c r="A30" s="31" t="inlineStr">
        <is>
          <t>Portes Coupe-Feu</t>
        </is>
      </c>
      <c r="B30" s="32">
        <f>Paramètres!$C$10/38590.0</f>
        <v/>
      </c>
      <c r="C30" s="33">
        <f>'Récap MEAUX II 2025'!E87</f>
        <v/>
      </c>
      <c r="D30" s="33">
        <f>B30*C30</f>
        <v/>
      </c>
      <c r="E30" s="34">
        <f>Paramètres!$J$10/365</f>
        <v/>
      </c>
      <c r="F30" s="33">
        <f>D30*E30</f>
        <v/>
      </c>
    </row>
    <row r="31" ht="15.05" customHeight="1">
      <c r="A31" s="31" t="inlineStr">
        <is>
          <t>Protection foudre</t>
        </is>
      </c>
      <c r="B31" s="32">
        <f>Paramètres!$C$10/38590.0</f>
        <v/>
      </c>
      <c r="C31" s="33">
        <f>'Récap MEAUX II 2025'!E90</f>
        <v/>
      </c>
      <c r="D31" s="33">
        <f>B31*C31</f>
        <v/>
      </c>
      <c r="E31" s="34">
        <f>Paramètres!$J$10/365</f>
        <v/>
      </c>
      <c r="F31" s="33">
        <f>D31*E31</f>
        <v/>
      </c>
    </row>
    <row r="32" ht="15.05" customHeight="1">
      <c r="A32" s="31" t="inlineStr">
        <is>
          <t>Quais &amp; Portes sectionnelles</t>
        </is>
      </c>
      <c r="B32" s="32">
        <f>Paramètres!$C$10/38590.0</f>
        <v/>
      </c>
      <c r="C32" s="33">
        <f>'Récap MEAUX II 2025'!E93</f>
        <v/>
      </c>
      <c r="D32" s="33">
        <f>B32*C32</f>
        <v/>
      </c>
      <c r="E32" s="34">
        <f>Paramètres!$J$10/365</f>
        <v/>
      </c>
      <c r="F32" s="33">
        <f>D32*E32</f>
        <v/>
      </c>
    </row>
    <row r="33" ht="15.05" customHeight="1">
      <c r="A33" s="31" t="inlineStr">
        <is>
          <t>Séparateur hydro.</t>
        </is>
      </c>
      <c r="B33" s="32">
        <f>Paramètres!$C$10/38590.0</f>
        <v/>
      </c>
      <c r="C33" s="33">
        <f>'Récap MEAUX II 2025'!E96</f>
        <v/>
      </c>
      <c r="D33" s="33">
        <f>B33*C33</f>
        <v/>
      </c>
      <c r="E33" s="34">
        <f>Paramètres!$J$10/365</f>
        <v/>
      </c>
      <c r="F33" s="33">
        <f>D33*E33</f>
        <v/>
      </c>
    </row>
    <row r="34" ht="15.05" customHeight="1">
      <c r="A34" s="31" t="inlineStr">
        <is>
          <t>Sprinklers - RIA - PI - Fioul</t>
        </is>
      </c>
      <c r="B34" s="32">
        <f>Paramètres!$C$10/38590.0</f>
        <v/>
      </c>
      <c r="C34" s="33">
        <f>'Récap MEAUX II 2025'!E102</f>
        <v/>
      </c>
      <c r="D34" s="33">
        <f>B34*C34</f>
        <v/>
      </c>
      <c r="E34" s="34">
        <f>Paramètres!$J$10/365</f>
        <v/>
      </c>
      <c r="F34" s="33">
        <f>D34*E34</f>
        <v/>
      </c>
    </row>
    <row r="35" ht="15.05" customHeight="1">
      <c r="A35" s="31" t="inlineStr">
        <is>
          <t>SSI</t>
        </is>
      </c>
      <c r="B35" s="32">
        <f>Paramètres!$C$10/38590.0</f>
        <v/>
      </c>
      <c r="C35" s="33">
        <f>'Récap MEAUX II 2025'!E105</f>
        <v/>
      </c>
      <c r="D35" s="33">
        <f>B35*C35</f>
        <v/>
      </c>
      <c r="E35" s="34">
        <f>Paramètres!$J$10/365</f>
        <v/>
      </c>
      <c r="F35" s="33">
        <f>D35*E35</f>
        <v/>
      </c>
    </row>
    <row r="36" ht="15.05" customHeight="1">
      <c r="A36" s="31" t="inlineStr">
        <is>
          <t>Télésurveillance</t>
        </is>
      </c>
      <c r="B36" s="32">
        <f>Paramètres!$C$10/38590.0</f>
        <v/>
      </c>
      <c r="C36" s="33">
        <f>'Récap MEAUX II 2025'!E119</f>
        <v/>
      </c>
      <c r="D36" s="33">
        <f>B36*C36</f>
        <v/>
      </c>
      <c r="E36" s="34">
        <f>Paramètres!$J$10/365</f>
        <v/>
      </c>
      <c r="F36" s="33">
        <f>D36*E36</f>
        <v/>
      </c>
    </row>
    <row r="37" ht="15.05" customHeight="1">
      <c r="A37" s="31" t="inlineStr">
        <is>
          <t>Toiture</t>
        </is>
      </c>
      <c r="B37" s="32">
        <f>Paramètres!$C$10/38590.0</f>
        <v/>
      </c>
      <c r="C37" s="33">
        <f>'Récap MEAUX II 2025'!E123</f>
        <v/>
      </c>
      <c r="D37" s="33">
        <f>B37*C37</f>
        <v/>
      </c>
      <c r="E37" s="34">
        <f>Paramètres!$J$10/365</f>
        <v/>
      </c>
      <c r="F37" s="33">
        <f>D37*E37</f>
        <v/>
      </c>
    </row>
    <row r="38" ht="15.05" customHeight="1">
      <c r="A38" s="31" t="inlineStr">
        <is>
          <t>Vérifications règlementaires</t>
        </is>
      </c>
      <c r="B38" s="32">
        <f>Paramètres!$C$10/38590.0</f>
        <v/>
      </c>
      <c r="C38" s="33">
        <f>'Récap MEAUX II 2025'!E127</f>
        <v/>
      </c>
      <c r="D38" s="33">
        <f>B38*C38</f>
        <v/>
      </c>
      <c r="E38" s="34">
        <f>Paramètres!$J$10/365</f>
        <v/>
      </c>
      <c r="F38" s="33">
        <f>D38*E38</f>
        <v/>
      </c>
    </row>
    <row r="39" ht="18" customHeight="1">
      <c r="A39" s="9" t="inlineStr">
        <is>
          <t>Sous-total — CONTRAT MAINTENANCE</t>
        </is>
      </c>
      <c r="C39" s="10">
        <f>SUM(C25:C38)</f>
        <v/>
      </c>
      <c r="D39" s="10">
        <f>SUM(D25:D38)</f>
        <v/>
      </c>
      <c r="E39" s="35" t="n"/>
      <c r="F39" s="10">
        <f>SUM(F25:F38)</f>
        <v/>
      </c>
    </row>
    <row r="40" ht="18" customHeight="1">
      <c r="A40" s="5" t="inlineStr">
        <is>
          <t>TAXES</t>
        </is>
      </c>
    </row>
    <row r="41" ht="15.05" customHeight="1">
      <c r="A41" s="31" t="inlineStr">
        <is>
          <t>Taxe Bureau &amp; Stationnement</t>
        </is>
      </c>
      <c r="B41" s="32">
        <f>Paramètres!$C$10/38590.0</f>
        <v/>
      </c>
      <c r="C41" s="33">
        <f>'Récap MEAUX II 2025'!E132</f>
        <v/>
      </c>
      <c r="D41" s="33">
        <f>B41*C41</f>
        <v/>
      </c>
      <c r="E41" s="34">
        <f>Paramètres!$J$10/365</f>
        <v/>
      </c>
      <c r="F41" s="33">
        <f>D41*E41</f>
        <v/>
      </c>
    </row>
    <row r="42" ht="18" customHeight="1">
      <c r="A42" s="9" t="inlineStr">
        <is>
          <t>Sous-total — TAXES</t>
        </is>
      </c>
      <c r="C42" s="10">
        <f>SUM(C41:C41)</f>
        <v/>
      </c>
      <c r="D42" s="10">
        <f>SUM(D41:D41)</f>
        <v/>
      </c>
      <c r="E42" s="35" t="n"/>
      <c r="F42" s="10">
        <f>SUM(F41:F41)</f>
        <v/>
      </c>
    </row>
    <row r="43" ht="6" customHeight="1"/>
    <row r="44" ht="7.55" customHeight="1"/>
    <row r="45" ht="21.75" customHeight="1">
      <c r="A45" s="13" t="inlineStr">
        <is>
          <t>TOTAL CHARGES RÉCUPÉRABLES RÉELLES (€ HT)</t>
        </is>
      </c>
      <c r="C45" s="14">
        <f>C9+C17+C20+C23+C39+C42</f>
        <v/>
      </c>
      <c r="D45" s="14">
        <f>D9+D17+D20+D23+D39+D42</f>
        <v/>
      </c>
      <c r="E45" s="38" t="n"/>
      <c r="F45" s="14">
        <f>F9+F17+F20+F23+F39+F42</f>
        <v/>
      </c>
    </row>
    <row r="46" ht="7.55" customHeight="1"/>
    <row r="47" ht="19.55" customHeight="1">
      <c r="A47" s="5" t="inlineStr">
        <is>
          <t>Provisions pour charges versées</t>
        </is>
      </c>
      <c r="C47" s="39" t="n"/>
      <c r="D47" s="27" t="inlineStr">
        <is>
          <t>Montant annuel (€)</t>
        </is>
      </c>
      <c r="E47" s="39" t="n"/>
      <c r="F47" s="27" t="inlineStr">
        <is>
          <t>Montant locataire (€)</t>
        </is>
      </c>
    </row>
    <row r="48" ht="15.8" customHeight="1">
      <c r="A48" s="20" t="inlineStr">
        <is>
          <t xml:space="preserve">  1er trimestre (T1)</t>
        </is>
      </c>
    </row>
    <row r="49" ht="15.8" customHeight="1">
      <c r="A49" s="20" t="inlineStr">
        <is>
          <t xml:space="preserve">  2e trimestre (T2)</t>
        </is>
      </c>
    </row>
    <row r="50" ht="15.8" customHeight="1">
      <c r="A50" s="20" t="inlineStr">
        <is>
          <t xml:space="preserve">  3e trimestre (T3)</t>
        </is>
      </c>
    </row>
    <row r="51" ht="15.8" customHeight="1">
      <c r="A51" s="20" t="inlineStr">
        <is>
          <t xml:space="preserve">  4e trimestre (T4)</t>
        </is>
      </c>
    </row>
    <row r="52" ht="18" customHeight="1">
      <c r="A52" s="9" t="inlineStr">
        <is>
          <t>Total provisions pour charges versées →</t>
        </is>
      </c>
      <c r="D52" s="10">
        <f>SUM(D48:D51)</f>
        <v/>
      </c>
      <c r="E52" s="35" t="n"/>
      <c r="F52" s="10">
        <f>SUM(F48:F51)</f>
        <v/>
      </c>
    </row>
    <row r="53" ht="7.55" customHeight="1"/>
    <row r="54" ht="21.75" customHeight="1">
      <c r="A54" s="40">
        <f>IF(F45-F52&gt;0,"SOLDE DÉBITEUR","SOLDE CRÉDITEUR")</f>
        <v/>
      </c>
      <c r="D54" s="41">
        <f>D45-D52</f>
        <v/>
      </c>
      <c r="E54" s="39" t="n"/>
      <c r="F54" s="41">
        <f>F45-F52</f>
        <v/>
      </c>
    </row>
    <row r="56" ht="27.75" customHeight="1">
      <c r="A56" s="42" t="inlineStr">
        <is>
          <t>ℹ  Clé répartition = surface lot ÷ surface totale site. Période = nombre de jours d'occupation ÷ 365.</t>
        </is>
      </c>
    </row>
  </sheetData>
  <mergeCells count="22">
    <mergeCell ref="A45:B45"/>
    <mergeCell ref="A12:F12"/>
    <mergeCell ref="A18:F18"/>
    <mergeCell ref="A56:F56"/>
    <mergeCell ref="A3:F3"/>
    <mergeCell ref="A21:F21"/>
    <mergeCell ref="A54:C54"/>
    <mergeCell ref="A2:F2"/>
    <mergeCell ref="A5:F5"/>
    <mergeCell ref="A52:C52"/>
    <mergeCell ref="A47:B47"/>
    <mergeCell ref="A42:B42"/>
    <mergeCell ref="A40:F40"/>
    <mergeCell ref="A23:B23"/>
    <mergeCell ref="A17:B17"/>
    <mergeCell ref="A24:F24"/>
    <mergeCell ref="A11:F11"/>
    <mergeCell ref="A20:B20"/>
    <mergeCell ref="A1:F1"/>
    <mergeCell ref="A6:F6"/>
    <mergeCell ref="A9:B9"/>
    <mergeCell ref="A39:B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2" customWidth="1" min="5" max="5"/>
    <col width="15" customWidth="1" min="6" max="6"/>
  </cols>
  <sheetData>
    <row r="1" ht="25.55" customHeight="1">
      <c r="A1" s="30" t="inlineStr">
        <is>
          <t>RÉGULARISATION DE CHARGES — C4</t>
        </is>
      </c>
    </row>
    <row r="2" ht="15.8" customHeight="1">
      <c r="A2" s="2" t="inlineStr">
        <is>
          <t>Site : MEAUX PN01  |  Année 2025</t>
        </is>
      </c>
    </row>
    <row r="3" ht="15.8" customHeight="1">
      <c r="A3" s="2">
        <f>Paramètres!$B$11&amp;IF(Paramètres!$E$11&lt;&gt;""," — "&amp;Paramètres!$E$11,"")</f>
        <v/>
      </c>
    </row>
    <row r="4" ht="19.55" customHeight="1">
      <c r="A4" s="3" t="inlineStr">
        <is>
          <t>Poste</t>
        </is>
      </c>
      <c r="B4" s="3" t="inlineStr">
        <is>
          <t>Clé répartition</t>
        </is>
      </c>
      <c r="C4" s="3" t="inlineStr">
        <is>
          <t>Total HT</t>
        </is>
      </c>
      <c r="D4" s="3" t="inlineStr">
        <is>
          <t>QP annuelle</t>
        </is>
      </c>
      <c r="E4" s="3" t="inlineStr">
        <is>
          <t>Période</t>
        </is>
      </c>
      <c r="F4" s="3" t="inlineStr">
        <is>
          <t>QP locataire</t>
        </is>
      </c>
    </row>
    <row r="5" ht="20" customHeight="1">
      <c r="A5" s="13" t="inlineStr">
        <is>
          <t>CHARGES SITE — MEAUX PN01</t>
        </is>
      </c>
    </row>
    <row r="6" ht="18" customHeight="1">
      <c r="A6" s="5" t="inlineStr">
        <is>
          <t>CONTRAT MAINTENANCE</t>
        </is>
      </c>
    </row>
    <row r="7" ht="15.05" customHeight="1">
      <c r="A7" s="31" t="inlineStr">
        <is>
          <t>Portails + Barrières automatiques</t>
        </is>
      </c>
      <c r="B7" s="32">
        <f>Paramètres!$C$11/Paramètres!$C$3</f>
        <v/>
      </c>
      <c r="C7" s="33">
        <f>'Récap MEAUX II 2025'!E84</f>
        <v/>
      </c>
      <c r="D7" s="33">
        <f>B7*C7</f>
        <v/>
      </c>
      <c r="E7" s="34">
        <f>Paramètres!$J$11/365</f>
        <v/>
      </c>
      <c r="F7" s="33">
        <f>D7*E7</f>
        <v/>
      </c>
    </row>
    <row r="8" ht="15.05" customHeight="1">
      <c r="A8" s="31" t="inlineStr">
        <is>
          <t>Vérifications règlementaires</t>
        </is>
      </c>
      <c r="B8" s="32">
        <f>Paramètres!$C$11/Paramètres!$C$3</f>
        <v/>
      </c>
      <c r="C8" s="33">
        <f>'Récap MEAUX II 2025'!E127</f>
        <v/>
      </c>
      <c r="D8" s="33">
        <f>B8*C8</f>
        <v/>
      </c>
      <c r="E8" s="34">
        <f>Paramètres!$J$11/365</f>
        <v/>
      </c>
      <c r="F8" s="33">
        <f>D8*E8</f>
        <v/>
      </c>
    </row>
    <row r="9" ht="18" customHeight="1">
      <c r="A9" s="9" t="inlineStr">
        <is>
          <t>Sous-total — CONTRAT MAINTENANCE</t>
        </is>
      </c>
      <c r="C9" s="10">
        <f>SUM(C7:C8)</f>
        <v/>
      </c>
      <c r="D9" s="10">
        <f>SUM(D7:D8)</f>
        <v/>
      </c>
      <c r="E9" s="35" t="n"/>
      <c r="F9" s="10">
        <f>SUM(F7:F8)</f>
        <v/>
      </c>
    </row>
    <row r="10" ht="6" customHeight="1"/>
    <row r="11" ht="20" customHeight="1">
      <c r="A11" s="13" t="inlineStr">
        <is>
          <t>CHARGES BÂTIMENT — MEAUX II</t>
        </is>
      </c>
    </row>
    <row r="12" ht="18" customHeight="1">
      <c r="A12" s="5" t="inlineStr">
        <is>
          <t>FLUIDES</t>
        </is>
      </c>
    </row>
    <row r="13" ht="15.05" customHeight="1">
      <c r="A13" s="31" t="inlineStr">
        <is>
          <t>Eau</t>
        </is>
      </c>
      <c r="B13" s="32">
        <f>Paramètres!$C$11/38590.0</f>
        <v/>
      </c>
      <c r="C13" s="33">
        <f>'Récap MEAUX II 2025'!E8</f>
        <v/>
      </c>
      <c r="D13" s="33">
        <f>B13*C13</f>
        <v/>
      </c>
      <c r="E13" s="34">
        <f>Paramètres!$H$11/365</f>
        <v/>
      </c>
      <c r="F13" s="33">
        <f>D13*E13</f>
        <v/>
      </c>
    </row>
    <row r="14" ht="15.05" customHeight="1">
      <c r="A14" s="31" t="inlineStr">
        <is>
          <t>Eau - Incendie</t>
        </is>
      </c>
      <c r="B14" s="32">
        <f>Paramètres!$C$11/38590.0</f>
        <v/>
      </c>
      <c r="C14" s="33">
        <f>'Récap MEAUX II 2025'!E12</f>
        <v/>
      </c>
      <c r="D14" s="33">
        <f>B14*C14</f>
        <v/>
      </c>
      <c r="E14" s="34">
        <f>Paramètres!$H$11/365</f>
        <v/>
      </c>
      <c r="F14" s="33">
        <f>D14*E14</f>
        <v/>
      </c>
    </row>
    <row r="15" ht="15.05" customHeight="1">
      <c r="A15" s="31" t="inlineStr">
        <is>
          <t>Electricité</t>
        </is>
      </c>
      <c r="B15" s="32">
        <f>Paramètres!$C$11/38590.0</f>
        <v/>
      </c>
      <c r="C15" s="33">
        <f>'Récap MEAUX II 2025'!E26</f>
        <v/>
      </c>
      <c r="D15" s="33">
        <f>B15*C15</f>
        <v/>
      </c>
      <c r="E15" s="34">
        <f>Paramètres!$H$11/365</f>
        <v/>
      </c>
      <c r="F15" s="33">
        <f>D15*E15</f>
        <v/>
      </c>
    </row>
    <row r="16" ht="15.05" customHeight="1">
      <c r="A16" s="31" t="inlineStr">
        <is>
          <t>Gaz</t>
        </is>
      </c>
      <c r="B16" s="32">
        <f>Paramètres!$C$11/38590.0</f>
        <v/>
      </c>
      <c r="C16" s="33">
        <f>'Récap MEAUX II 2025'!E40</f>
        <v/>
      </c>
      <c r="D16" s="33">
        <f>B16*C16</f>
        <v/>
      </c>
      <c r="E16" s="34">
        <f>Paramètres!$H$11/365</f>
        <v/>
      </c>
      <c r="F16" s="33">
        <f>D16*E16</f>
        <v/>
      </c>
    </row>
    <row r="17" ht="18" customHeight="1">
      <c r="A17" s="9" t="inlineStr">
        <is>
          <t>Sous-total — FLUIDES</t>
        </is>
      </c>
      <c r="C17" s="10">
        <f>SUM(C13:C16)</f>
        <v/>
      </c>
      <c r="D17" s="10">
        <f>SUM(D13:D16)</f>
        <v/>
      </c>
      <c r="E17" s="35" t="n"/>
      <c r="F17" s="10">
        <f>SUM(F13:F16)</f>
        <v/>
      </c>
    </row>
    <row r="18" ht="18" customHeight="1">
      <c r="A18" s="5" t="inlineStr">
        <is>
          <t>HONORAIRES</t>
        </is>
      </c>
    </row>
    <row r="19" ht="15.05" customHeight="1">
      <c r="A19" s="31" t="inlineStr">
        <is>
          <t>Honoraires Divers</t>
        </is>
      </c>
      <c r="B19" s="32">
        <f>Paramètres!$C$11/38590.0</f>
        <v/>
      </c>
      <c r="C19" s="33">
        <f>'Récap MEAUX II 2025'!E45</f>
        <v/>
      </c>
      <c r="D19" s="33">
        <f>B19*C19</f>
        <v/>
      </c>
      <c r="E19" s="34">
        <f>Paramètres!$J$11/365</f>
        <v/>
      </c>
      <c r="F19" s="33">
        <f>D19*E19</f>
        <v/>
      </c>
    </row>
    <row r="20" ht="18" customHeight="1">
      <c r="A20" s="9" t="inlineStr">
        <is>
          <t>Sous-total — HONORAIRES</t>
        </is>
      </c>
      <c r="C20" s="10">
        <f>SUM(C19:C19)</f>
        <v/>
      </c>
      <c r="D20" s="10">
        <f>SUM(D19:D19)</f>
        <v/>
      </c>
      <c r="E20" s="35" t="n"/>
      <c r="F20" s="10">
        <f>SUM(F19:F19)</f>
        <v/>
      </c>
    </row>
    <row r="21" ht="18" customHeight="1">
      <c r="A21" s="5" t="inlineStr">
        <is>
          <t>TRAVAUX</t>
        </is>
      </c>
    </row>
    <row r="22" ht="15.05" customHeight="1">
      <c r="A22" s="31" t="inlineStr">
        <is>
          <t>Entretien Courant</t>
        </is>
      </c>
      <c r="B22" s="32">
        <f>Paramètres!$C$11/38590.0</f>
        <v/>
      </c>
      <c r="C22" s="33">
        <f>'Récap MEAUX II 2025'!E63</f>
        <v/>
      </c>
      <c r="D22" s="33">
        <f>B22*C22</f>
        <v/>
      </c>
      <c r="E22" s="34">
        <f>Paramètres!$J$11/365</f>
        <v/>
      </c>
      <c r="F22" s="33">
        <f>D22*E22</f>
        <v/>
      </c>
    </row>
    <row r="23" ht="18" customHeight="1">
      <c r="A23" s="9" t="inlineStr">
        <is>
          <t>Sous-total — TRAVAUX</t>
        </is>
      </c>
      <c r="C23" s="10">
        <f>SUM(C22:C22)</f>
        <v/>
      </c>
      <c r="D23" s="10">
        <f>SUM(D22:D22)</f>
        <v/>
      </c>
      <c r="E23" s="35" t="n"/>
      <c r="F23" s="10">
        <f>SUM(F22:F22)</f>
        <v/>
      </c>
    </row>
    <row r="24" ht="18" customHeight="1">
      <c r="A24" s="5" t="inlineStr">
        <is>
          <t>CONTRAT MAINTENANCE</t>
        </is>
      </c>
    </row>
    <row r="25" ht="15.05" customHeight="1">
      <c r="A25" s="31" t="inlineStr">
        <is>
          <t>Ascenseur</t>
        </is>
      </c>
      <c r="B25" s="32">
        <f>Paramètres!$C$11/38590.0</f>
        <v/>
      </c>
      <c r="C25" s="33">
        <f>'Récap MEAUX II 2025'!E67</f>
        <v/>
      </c>
      <c r="D25" s="33">
        <f>B25*C25</f>
        <v/>
      </c>
      <c r="E25" s="34">
        <f>Paramètres!$J$11/365</f>
        <v/>
      </c>
      <c r="F25" s="33">
        <f>D25*E25</f>
        <v/>
      </c>
    </row>
    <row r="26" ht="15.05" customHeight="1">
      <c r="A26" s="31" t="inlineStr">
        <is>
          <t>Chaufferie</t>
        </is>
      </c>
      <c r="B26" s="32">
        <f>Paramètres!$C$11/38590.0</f>
        <v/>
      </c>
      <c r="C26" s="33">
        <f>'Récap MEAUX II 2025'!E71</f>
        <v/>
      </c>
      <c r="D26" s="33">
        <f>B26*C26</f>
        <v/>
      </c>
      <c r="E26" s="34">
        <f>Paramètres!$J$11/365</f>
        <v/>
      </c>
      <c r="F26" s="33">
        <f>D26*E26</f>
        <v/>
      </c>
    </row>
    <row r="27" ht="15.05" customHeight="1">
      <c r="A27" s="31" t="inlineStr">
        <is>
          <t>Désenfumage</t>
        </is>
      </c>
      <c r="B27" s="32">
        <f>Paramètres!$C$11/38590.0</f>
        <v/>
      </c>
      <c r="C27" s="33">
        <f>'Récap MEAUX II 2025'!E74</f>
        <v/>
      </c>
      <c r="D27" s="33">
        <f>B27*C27</f>
        <v/>
      </c>
      <c r="E27" s="34">
        <f>Paramètres!$J$11/365</f>
        <v/>
      </c>
      <c r="F27" s="33">
        <f>D27*E27</f>
        <v/>
      </c>
    </row>
    <row r="28" ht="15.05" customHeight="1">
      <c r="A28" s="31" t="inlineStr">
        <is>
          <t>Espaces verts</t>
        </is>
      </c>
      <c r="B28" s="32">
        <f>Paramètres!$C$11/38590.0</f>
        <v/>
      </c>
      <c r="C28" s="33">
        <f>'Récap MEAUX II 2025'!E81</f>
        <v/>
      </c>
      <c r="D28" s="33">
        <f>B28*C28</f>
        <v/>
      </c>
      <c r="E28" s="34">
        <f>Paramètres!$J$11/365</f>
        <v/>
      </c>
      <c r="F28" s="33">
        <f>D28*E28</f>
        <v/>
      </c>
    </row>
    <row r="29" ht="15.05" customHeight="1">
      <c r="A29" s="31" t="inlineStr">
        <is>
          <t>Portails + Barrières automatiques</t>
        </is>
      </c>
      <c r="B29" s="32">
        <f>Paramètres!$C$11/38590.0</f>
        <v/>
      </c>
      <c r="C29" s="33">
        <f>'Récap MEAUX II 2025'!E84</f>
        <v/>
      </c>
      <c r="D29" s="33">
        <f>B29*C29</f>
        <v/>
      </c>
      <c r="E29" s="34">
        <f>Paramètres!$J$11/365</f>
        <v/>
      </c>
      <c r="F29" s="33">
        <f>D29*E29</f>
        <v/>
      </c>
    </row>
    <row r="30" ht="15.05" customHeight="1">
      <c r="A30" s="31" t="inlineStr">
        <is>
          <t>Portes Coupe-Feu</t>
        </is>
      </c>
      <c r="B30" s="32">
        <f>Paramètres!$C$11/38590.0</f>
        <v/>
      </c>
      <c r="C30" s="33">
        <f>'Récap MEAUX II 2025'!E87</f>
        <v/>
      </c>
      <c r="D30" s="33">
        <f>B30*C30</f>
        <v/>
      </c>
      <c r="E30" s="34">
        <f>Paramètres!$J$11/365</f>
        <v/>
      </c>
      <c r="F30" s="33">
        <f>D30*E30</f>
        <v/>
      </c>
    </row>
    <row r="31" ht="15.05" customHeight="1">
      <c r="A31" s="31" t="inlineStr">
        <is>
          <t>Protection foudre</t>
        </is>
      </c>
      <c r="B31" s="32">
        <f>Paramètres!$C$11/38590.0</f>
        <v/>
      </c>
      <c r="C31" s="33">
        <f>'Récap MEAUX II 2025'!E90</f>
        <v/>
      </c>
      <c r="D31" s="33">
        <f>B31*C31</f>
        <v/>
      </c>
      <c r="E31" s="34">
        <f>Paramètres!$J$11/365</f>
        <v/>
      </c>
      <c r="F31" s="33">
        <f>D31*E31</f>
        <v/>
      </c>
    </row>
    <row r="32" ht="15.05" customHeight="1">
      <c r="A32" s="31" t="inlineStr">
        <is>
          <t>Quais &amp; Portes sectionnelles</t>
        </is>
      </c>
      <c r="B32" s="32">
        <f>Paramètres!$C$11/38590.0</f>
        <v/>
      </c>
      <c r="C32" s="33">
        <f>'Récap MEAUX II 2025'!E93</f>
        <v/>
      </c>
      <c r="D32" s="33">
        <f>B32*C32</f>
        <v/>
      </c>
      <c r="E32" s="34">
        <f>Paramètres!$J$11/365</f>
        <v/>
      </c>
      <c r="F32" s="33">
        <f>D32*E32</f>
        <v/>
      </c>
    </row>
    <row r="33" ht="15.05" customHeight="1">
      <c r="A33" s="31" t="inlineStr">
        <is>
          <t>Séparateur hydro.</t>
        </is>
      </c>
      <c r="B33" s="32">
        <f>Paramètres!$C$11/38590.0</f>
        <v/>
      </c>
      <c r="C33" s="33">
        <f>'Récap MEAUX II 2025'!E96</f>
        <v/>
      </c>
      <c r="D33" s="33">
        <f>B33*C33</f>
        <v/>
      </c>
      <c r="E33" s="34">
        <f>Paramètres!$J$11/365</f>
        <v/>
      </c>
      <c r="F33" s="33">
        <f>D33*E33</f>
        <v/>
      </c>
    </row>
    <row r="34" ht="15.05" customHeight="1">
      <c r="A34" s="31" t="inlineStr">
        <is>
          <t>Sprinklers - RIA - PI - Fioul</t>
        </is>
      </c>
      <c r="B34" s="32">
        <f>Paramètres!$C$11/38590.0</f>
        <v/>
      </c>
      <c r="C34" s="33">
        <f>'Récap MEAUX II 2025'!E102</f>
        <v/>
      </c>
      <c r="D34" s="33">
        <f>B34*C34</f>
        <v/>
      </c>
      <c r="E34" s="34">
        <f>Paramètres!$J$11/365</f>
        <v/>
      </c>
      <c r="F34" s="33">
        <f>D34*E34</f>
        <v/>
      </c>
    </row>
    <row r="35" ht="15.05" customHeight="1">
      <c r="A35" s="31" t="inlineStr">
        <is>
          <t>SSI</t>
        </is>
      </c>
      <c r="B35" s="32">
        <f>Paramètres!$C$11/38590.0</f>
        <v/>
      </c>
      <c r="C35" s="33">
        <f>'Récap MEAUX II 2025'!E105</f>
        <v/>
      </c>
      <c r="D35" s="33">
        <f>B35*C35</f>
        <v/>
      </c>
      <c r="E35" s="34">
        <f>Paramètres!$J$11/365</f>
        <v/>
      </c>
      <c r="F35" s="33">
        <f>D35*E35</f>
        <v/>
      </c>
    </row>
    <row r="36" ht="15.05" customHeight="1">
      <c r="A36" s="31" t="inlineStr">
        <is>
          <t>Télésurveillance</t>
        </is>
      </c>
      <c r="B36" s="32">
        <f>Paramètres!$C$11/38590.0</f>
        <v/>
      </c>
      <c r="C36" s="33">
        <f>'Récap MEAUX II 2025'!E119</f>
        <v/>
      </c>
      <c r="D36" s="33">
        <f>B36*C36</f>
        <v/>
      </c>
      <c r="E36" s="34">
        <f>Paramètres!$J$11/365</f>
        <v/>
      </c>
      <c r="F36" s="33">
        <f>D36*E36</f>
        <v/>
      </c>
    </row>
    <row r="37" ht="15.05" customHeight="1">
      <c r="A37" s="31" t="inlineStr">
        <is>
          <t>Toiture</t>
        </is>
      </c>
      <c r="B37" s="32">
        <f>Paramètres!$C$11/38590.0</f>
        <v/>
      </c>
      <c r="C37" s="33">
        <f>'Récap MEAUX II 2025'!E123</f>
        <v/>
      </c>
      <c r="D37" s="33">
        <f>B37*C37</f>
        <v/>
      </c>
      <c r="E37" s="34">
        <f>Paramètres!$J$11/365</f>
        <v/>
      </c>
      <c r="F37" s="33">
        <f>D37*E37</f>
        <v/>
      </c>
    </row>
    <row r="38" ht="15.05" customHeight="1">
      <c r="A38" s="31" t="inlineStr">
        <is>
          <t>Vérifications règlementaires</t>
        </is>
      </c>
      <c r="B38" s="32">
        <f>Paramètres!$C$11/38590.0</f>
        <v/>
      </c>
      <c r="C38" s="33">
        <f>'Récap MEAUX II 2025'!E127</f>
        <v/>
      </c>
      <c r="D38" s="33">
        <f>B38*C38</f>
        <v/>
      </c>
      <c r="E38" s="34">
        <f>Paramètres!$J$11/365</f>
        <v/>
      </c>
      <c r="F38" s="33">
        <f>D38*E38</f>
        <v/>
      </c>
    </row>
    <row r="39" ht="18" customHeight="1">
      <c r="A39" s="9" t="inlineStr">
        <is>
          <t>Sous-total — CONTRAT MAINTENANCE</t>
        </is>
      </c>
      <c r="C39" s="10">
        <f>SUM(C25:C38)</f>
        <v/>
      </c>
      <c r="D39" s="10">
        <f>SUM(D25:D38)</f>
        <v/>
      </c>
      <c r="E39" s="35" t="n"/>
      <c r="F39" s="10">
        <f>SUM(F25:F38)</f>
        <v/>
      </c>
    </row>
    <row r="40" ht="18" customHeight="1">
      <c r="A40" s="5" t="inlineStr">
        <is>
          <t>TAXES</t>
        </is>
      </c>
    </row>
    <row r="41" ht="15.05" customHeight="1">
      <c r="A41" s="31" t="inlineStr">
        <is>
          <t>Taxe Bureau &amp; Stationnement</t>
        </is>
      </c>
      <c r="B41" s="32">
        <f>Paramètres!$C$11/38590.0</f>
        <v/>
      </c>
      <c r="C41" s="33">
        <f>'Récap MEAUX II 2025'!E132</f>
        <v/>
      </c>
      <c r="D41" s="33">
        <f>B41*C41</f>
        <v/>
      </c>
      <c r="E41" s="34">
        <f>Paramètres!$J$11/365</f>
        <v/>
      </c>
      <c r="F41" s="33">
        <f>D41*E41</f>
        <v/>
      </c>
    </row>
    <row r="42" ht="18" customHeight="1">
      <c r="A42" s="9" t="inlineStr">
        <is>
          <t>Sous-total — TAXES</t>
        </is>
      </c>
      <c r="C42" s="10">
        <f>SUM(C41:C41)</f>
        <v/>
      </c>
      <c r="D42" s="10">
        <f>SUM(D41:D41)</f>
        <v/>
      </c>
      <c r="E42" s="35" t="n"/>
      <c r="F42" s="10">
        <f>SUM(F41:F41)</f>
        <v/>
      </c>
    </row>
    <row r="43" ht="6" customHeight="1"/>
    <row r="44" ht="7.55" customHeight="1"/>
    <row r="45" ht="21.75" customHeight="1">
      <c r="A45" s="13" t="inlineStr">
        <is>
          <t>TOTAL CHARGES RÉCUPÉRABLES RÉELLES (€ HT)</t>
        </is>
      </c>
      <c r="C45" s="14">
        <f>C9+C17+C20+C23+C39+C42</f>
        <v/>
      </c>
      <c r="D45" s="14">
        <f>D9+D17+D20+D23+D39+D42</f>
        <v/>
      </c>
      <c r="E45" s="38" t="n"/>
      <c r="F45" s="14">
        <f>F9+F17+F20+F23+F39+F42</f>
        <v/>
      </c>
    </row>
    <row r="46" ht="7.55" customHeight="1"/>
    <row r="47" ht="19.55" customHeight="1">
      <c r="A47" s="5" t="inlineStr">
        <is>
          <t>Provisions pour charges versées</t>
        </is>
      </c>
      <c r="C47" s="39" t="n"/>
      <c r="D47" s="27" t="inlineStr">
        <is>
          <t>Montant annuel (€)</t>
        </is>
      </c>
      <c r="E47" s="39" t="n"/>
      <c r="F47" s="27" t="inlineStr">
        <is>
          <t>Montant locataire (€)</t>
        </is>
      </c>
    </row>
    <row r="48" ht="15.8" customHeight="1">
      <c r="A48" s="20" t="inlineStr">
        <is>
          <t xml:space="preserve">  1er trimestre (T1)</t>
        </is>
      </c>
    </row>
    <row r="49" ht="15.8" customHeight="1">
      <c r="A49" s="20" t="inlineStr">
        <is>
          <t xml:space="preserve">  2e trimestre (T2)</t>
        </is>
      </c>
    </row>
    <row r="50" ht="15.8" customHeight="1">
      <c r="A50" s="20" t="inlineStr">
        <is>
          <t xml:space="preserve">  3e trimestre (T3)</t>
        </is>
      </c>
    </row>
    <row r="51" ht="15.8" customHeight="1">
      <c r="A51" s="20" t="inlineStr">
        <is>
          <t xml:space="preserve">  4e trimestre (T4)</t>
        </is>
      </c>
    </row>
    <row r="52" ht="18" customHeight="1">
      <c r="A52" s="9" t="inlineStr">
        <is>
          <t>Total provisions pour charges versées →</t>
        </is>
      </c>
      <c r="D52" s="10">
        <f>SUM(D48:D51)</f>
        <v/>
      </c>
      <c r="E52" s="35" t="n"/>
      <c r="F52" s="10">
        <f>SUM(F48:F51)</f>
        <v/>
      </c>
    </row>
    <row r="53" ht="7.55" customHeight="1"/>
    <row r="54" ht="21.75" customHeight="1">
      <c r="A54" s="40">
        <f>IF(F45-F52&gt;0,"SOLDE DÉBITEUR","SOLDE CRÉDITEUR")</f>
        <v/>
      </c>
      <c r="D54" s="41">
        <f>D45-D52</f>
        <v/>
      </c>
      <c r="E54" s="39" t="n"/>
      <c r="F54" s="41">
        <f>F45-F52</f>
        <v/>
      </c>
    </row>
    <row r="56" ht="27.75" customHeight="1">
      <c r="A56" s="42" t="inlineStr">
        <is>
          <t>ℹ  Clé répartition = surface lot ÷ surface totale site. Période = nombre de jours d'occupation ÷ 365.</t>
        </is>
      </c>
    </row>
  </sheetData>
  <mergeCells count="22">
    <mergeCell ref="A45:B45"/>
    <mergeCell ref="A12:F12"/>
    <mergeCell ref="A18:F18"/>
    <mergeCell ref="A56:F56"/>
    <mergeCell ref="A3:F3"/>
    <mergeCell ref="A21:F21"/>
    <mergeCell ref="A54:C54"/>
    <mergeCell ref="A2:F2"/>
    <mergeCell ref="A5:F5"/>
    <mergeCell ref="A52:C52"/>
    <mergeCell ref="A47:B47"/>
    <mergeCell ref="A42:B42"/>
    <mergeCell ref="A40:F40"/>
    <mergeCell ref="A23:B23"/>
    <mergeCell ref="A17:B17"/>
    <mergeCell ref="A24:F24"/>
    <mergeCell ref="A11:F11"/>
    <mergeCell ref="A20:B20"/>
    <mergeCell ref="A1:F1"/>
    <mergeCell ref="A6:F6"/>
    <mergeCell ref="A9:B9"/>
    <mergeCell ref="A39:B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8" customWidth="1" min="4" max="4"/>
    <col width="15" customWidth="1" min="5" max="5"/>
    <col width="18" customWidth="1" min="6" max="6"/>
  </cols>
  <sheetData>
    <row r="1" ht="25.55" customHeight="1">
      <c r="A1" s="30" t="inlineStr">
        <is>
          <t>MEAUX PN01 — COÛT DE LA VACANCE LOCATIVE 2025</t>
        </is>
      </c>
    </row>
    <row r="2" ht="15.8" customHeight="1">
      <c r="A2" s="2" t="inlineStr">
        <is>
          <t>Estimation de la perte de charges non récupérées sur les lots vacants</t>
        </is>
      </c>
    </row>
    <row r="3" ht="6" customHeight="1"/>
    <row r="4" ht="24" customHeight="1">
      <c r="A4" s="3" t="inlineStr">
        <is>
          <t>Lot</t>
        </is>
      </c>
      <c r="B4" s="3" t="inlineStr">
        <is>
          <t>Statut</t>
        </is>
      </c>
      <c r="C4" s="3" t="inlineStr">
        <is>
          <t>Surface (m²)</t>
        </is>
      </c>
      <c r="D4" s="3" t="inlineStr">
        <is>
          <t>QP annuelle (€ HT)</t>
        </is>
      </c>
      <c r="E4" s="3" t="inlineStr">
        <is>
          <t>Période (j/365)</t>
        </is>
      </c>
      <c r="F4" s="3" t="inlineStr">
        <is>
          <t>Coût vacance (€ HT)</t>
        </is>
      </c>
    </row>
    <row r="5" ht="18" customHeight="1">
      <c r="A5" s="43">
        <f>Paramètres!A7</f>
        <v/>
      </c>
      <c r="B5" s="19">
        <f>Paramètres!B7</f>
        <v/>
      </c>
      <c r="C5" s="44">
        <f>Paramètres!C7</f>
        <v/>
      </c>
      <c r="D5" s="33">
        <f>'BAT 1 - MEAUX I'!D27</f>
        <v/>
      </c>
      <c r="E5" s="34">
        <f>Paramètres!H7/365</f>
        <v/>
      </c>
      <c r="F5" s="29">
        <f>IF(Paramètres!B7="Vacant",'BAT 1 - MEAUX I'!D27,'BAT 1 - MEAUX I'!D27-'BAT 1 - MEAUX I'!F27)</f>
        <v/>
      </c>
    </row>
    <row r="6" ht="18" customHeight="1">
      <c r="A6" s="43">
        <f>Paramètres!A8</f>
        <v/>
      </c>
      <c r="B6" s="19">
        <f>Paramètres!B8</f>
        <v/>
      </c>
      <c r="C6" s="44">
        <f>Paramètres!C8</f>
        <v/>
      </c>
      <c r="D6" s="33">
        <f>'C1'!D45</f>
        <v/>
      </c>
      <c r="E6" s="34">
        <f>Paramètres!H8/365</f>
        <v/>
      </c>
      <c r="F6" s="29">
        <f>IF(Paramètres!B8="Vacant",'C1'!D45,'C1'!D45-'C1'!F45)</f>
        <v/>
      </c>
    </row>
    <row r="7" ht="18" customHeight="1">
      <c r="A7" s="43">
        <f>Paramètres!A9</f>
        <v/>
      </c>
      <c r="B7" s="19">
        <f>Paramètres!B9</f>
        <v/>
      </c>
      <c r="C7" s="44">
        <f>Paramètres!C9</f>
        <v/>
      </c>
      <c r="D7" s="33">
        <f>'C2'!D45</f>
        <v/>
      </c>
      <c r="E7" s="34">
        <f>Paramètres!H9/365</f>
        <v/>
      </c>
      <c r="F7" s="29">
        <f>IF(Paramètres!B9="Vacant",'C2'!D45,'C2'!D45-'C2'!F45)</f>
        <v/>
      </c>
    </row>
    <row r="8" ht="18" customHeight="1">
      <c r="A8" s="43">
        <f>Paramètres!A10</f>
        <v/>
      </c>
      <c r="B8" s="19">
        <f>Paramètres!B10</f>
        <v/>
      </c>
      <c r="C8" s="44">
        <f>Paramètres!C10</f>
        <v/>
      </c>
      <c r="D8" s="33">
        <f>'C3'!D45</f>
        <v/>
      </c>
      <c r="E8" s="34">
        <f>Paramètres!H10/365</f>
        <v/>
      </c>
      <c r="F8" s="29">
        <f>IF(Paramètres!B10="Vacant",'C3'!D45,'C3'!D45-'C3'!F45)</f>
        <v/>
      </c>
    </row>
    <row r="9" ht="18" customHeight="1">
      <c r="A9" s="43">
        <f>Paramètres!A11</f>
        <v/>
      </c>
      <c r="B9" s="19">
        <f>Paramètres!B11</f>
        <v/>
      </c>
      <c r="C9" s="44">
        <f>Paramètres!C11</f>
        <v/>
      </c>
      <c r="D9" s="33">
        <f>'C4'!D45</f>
        <v/>
      </c>
      <c r="E9" s="34">
        <f>Paramètres!H11/365</f>
        <v/>
      </c>
      <c r="F9" s="29">
        <f>IF(Paramètres!B11="Vacant",'C4'!D45,'C4'!D45-'C4'!F45)</f>
        <v/>
      </c>
    </row>
    <row r="10" ht="6" customHeight="1"/>
    <row r="11" ht="18" customHeight="1">
      <c r="A11" s="9" t="inlineStr">
        <is>
          <t>Total QP charges (tous lots)</t>
        </is>
      </c>
      <c r="D11" s="10">
        <f>SUM(D5:D9)</f>
        <v/>
      </c>
      <c r="E11" s="35" t="n"/>
      <c r="F11" s="35" t="n"/>
    </row>
    <row r="12" ht="18" customHeight="1">
      <c r="A12" s="9" t="inlineStr">
        <is>
          <t>Nombre de lots vacants</t>
        </is>
      </c>
      <c r="D12" s="45">
        <f>COUNTIF(B5:B9,"Vacant")</f>
        <v/>
      </c>
      <c r="E12" s="35" t="n"/>
      <c r="F12" s="35" t="n"/>
    </row>
    <row r="13" ht="6" customHeight="1"/>
    <row r="14" ht="19.55" customHeight="1">
      <c r="A14" s="46" t="inlineStr">
        <is>
          <t>Charges non récupérables (Frais Bancaires + CAPEX)</t>
        </is>
      </c>
      <c r="F14" s="47">
        <f>'Récap Site 2025'!E22</f>
        <v/>
      </c>
    </row>
    <row r="15" ht="6" customHeight="1"/>
    <row r="16" ht="25.55" customHeight="1">
      <c r="A16" s="48" t="inlineStr">
        <is>
          <t>TOTAL COÛT DE LA VACANCE LOCATIVE (€ HT)</t>
        </is>
      </c>
      <c r="F16" s="49">
        <f>F5+F6+F7+F8+F9+F14</f>
        <v/>
      </c>
    </row>
    <row r="17" ht="6" customHeight="1"/>
    <row r="18" ht="19.55" customHeight="1">
      <c r="A18" s="9" t="inlineStr">
        <is>
          <t>Part vacance sur total charges site</t>
        </is>
      </c>
      <c r="F18" s="50">
        <f>IF(D11&gt;0,F16/D11,0)</f>
        <v/>
      </c>
    </row>
    <row r="19" ht="6" customHeight="1"/>
    <row r="20" ht="27.75" customHeight="1">
      <c r="A20" s="42" t="inlineStr">
        <is>
          <t>ℹ  QP annuelle = Total site HT × clé de répartition. Coût vacance = QP annuelle × fraction de l'année non occupée.</t>
        </is>
      </c>
    </row>
  </sheetData>
  <mergeCells count="8">
    <mergeCell ref="A2:F2"/>
    <mergeCell ref="A11:C11"/>
    <mergeCell ref="A16:E16"/>
    <mergeCell ref="A1:F1"/>
    <mergeCell ref="A14:E14"/>
    <mergeCell ref="A12:C12"/>
    <mergeCell ref="A20:F20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2026-05-07T15:29:34Z</dcterms:created>
  <dcterms:modified xsi:type="dcterms:W3CDTF">2026-05-07T15:29:34Z</dcterms:modified>
</cp:coreProperties>
</file>