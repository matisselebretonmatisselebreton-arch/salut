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itulatif 2025" sheetId="1" state="visible" r:id="rId1"/>
    <sheet name="Paramètres" sheetId="2" state="visible" r:id="rId2"/>
    <sheet name="BAT 1 - MEAUX I" sheetId="3" state="visible" r:id="rId3"/>
    <sheet name="C1" sheetId="4" state="visible" r:id="rId4"/>
    <sheet name="C2" sheetId="5" state="visible" r:id="rId5"/>
    <sheet name="C3" sheetId="6" state="visible" r:id="rId6"/>
    <sheet name="C4" sheetId="7" state="visible" r:id="rId7"/>
    <sheet name="Vacance Locativ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&quot; €&quot;"/>
    <numFmt numFmtId="165" formatCode="DD/MM/YYYY"/>
    <numFmt numFmtId="166" formatCode="yyyy-mm-dd"/>
    <numFmt numFmtId="167" formatCode="0.0000"/>
    <numFmt numFmtId="168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AAAAAA"/>
      <sz val="9"/>
    </font>
    <font>
      <name val="Calibri"/>
      <b val="1"/>
      <color rgb="001B3A6B"/>
      <sz val="9"/>
    </font>
    <font>
      <name val="Calibri"/>
      <color rgb="00000000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165" fontId="7" fillId="5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164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8" fillId="4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7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8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RÉCAPITULATIF DES CHARGES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Portails + Barrières automatiques</t>
        </is>
      </c>
      <c r="E7" s="8" t="n">
        <v>2544.41</v>
      </c>
    </row>
    <row r="8" ht="18" customHeight="1">
      <c r="A8" s="5" t="inlineStr">
        <is>
          <t xml:space="preserve">  Vérifications règlementaires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Vérifications règlementaires</t>
        </is>
      </c>
      <c r="E10" s="8" t="n">
        <v>8575</v>
      </c>
    </row>
    <row r="11" ht="18" customHeight="1">
      <c r="A11" s="5" t="inlineStr">
        <is>
          <t xml:space="preserve">  Ascenseur</t>
        </is>
      </c>
    </row>
    <row r="12" ht="13.5" customHeight="1">
      <c r="D12" s="6" t="inlineStr">
        <is>
          <t>— Aucune facture —</t>
        </is>
      </c>
    </row>
    <row r="13" ht="15.8" customHeight="1">
      <c r="A13" s="7" t="inlineStr">
        <is>
          <t xml:space="preserve">    Sous-total — Ascenseur</t>
        </is>
      </c>
      <c r="E13" s="8" t="n">
        <v>131.67</v>
      </c>
    </row>
    <row r="14" ht="18" customHeight="1">
      <c r="A14" s="5" t="inlineStr">
        <is>
          <t xml:space="preserve">  Chaufferie</t>
        </is>
      </c>
    </row>
    <row r="15" ht="13.5" customHeight="1">
      <c r="D15" s="6" t="inlineStr">
        <is>
          <t>— Aucune facture —</t>
        </is>
      </c>
    </row>
    <row r="16" ht="15.8" customHeight="1">
      <c r="A16" s="7" t="inlineStr">
        <is>
          <t xml:space="preserve">    Sous-total — Chaufferie</t>
        </is>
      </c>
      <c r="E16" s="8" t="n">
        <v>4977.6</v>
      </c>
    </row>
    <row r="17" ht="18" customHeight="1">
      <c r="A17" s="5" t="inlineStr">
        <is>
          <t xml:space="preserve">  Désenfumage</t>
        </is>
      </c>
    </row>
    <row r="18" ht="13.5" customHeight="1">
      <c r="D18" s="6" t="inlineStr">
        <is>
          <t>— Aucune facture —</t>
        </is>
      </c>
    </row>
    <row r="19" ht="15.8" customHeight="1">
      <c r="A19" s="7" t="inlineStr">
        <is>
          <t xml:space="preserve">    Sous-total — Désenfumage</t>
        </is>
      </c>
      <c r="E19" s="8" t="n">
        <v>3978</v>
      </c>
    </row>
    <row r="20" ht="18" customHeight="1">
      <c r="A20" s="5" t="inlineStr">
        <is>
          <t xml:space="preserve">  Espaces verts</t>
        </is>
      </c>
    </row>
    <row r="21" ht="13.5" customHeight="1">
      <c r="D21" s="6" t="inlineStr">
        <is>
          <t>— Aucune facture —</t>
        </is>
      </c>
    </row>
    <row r="22" ht="15.8" customHeight="1">
      <c r="A22" s="7" t="inlineStr">
        <is>
          <t xml:space="preserve">    Sous-total — Espaces verts</t>
        </is>
      </c>
      <c r="E22" s="8" t="n">
        <v>11681.28</v>
      </c>
    </row>
    <row r="23" ht="18" customHeight="1">
      <c r="A23" s="5" t="inlineStr">
        <is>
          <t xml:space="preserve">  Portes Coupe-Feu</t>
        </is>
      </c>
    </row>
    <row r="24" ht="13.5" customHeight="1">
      <c r="D24" s="6" t="inlineStr">
        <is>
          <t>— Aucune facture —</t>
        </is>
      </c>
    </row>
    <row r="25" ht="15.8" customHeight="1">
      <c r="A25" s="7" t="inlineStr">
        <is>
          <t xml:space="preserve">    Sous-total — Portes Coupe-Feu</t>
        </is>
      </c>
      <c r="E25" s="8" t="n">
        <v>2068.74</v>
      </c>
    </row>
    <row r="26" ht="18" customHeight="1">
      <c r="A26" s="5" t="inlineStr">
        <is>
          <t xml:space="preserve">  Protection foudre</t>
        </is>
      </c>
    </row>
    <row r="27" ht="13.5" customHeight="1">
      <c r="D27" s="6" t="inlineStr">
        <is>
          <t>— Aucune facture —</t>
        </is>
      </c>
    </row>
    <row r="28" ht="15.8" customHeight="1">
      <c r="A28" s="7" t="inlineStr">
        <is>
          <t xml:space="preserve">    Sous-total — Protection foudre</t>
        </is>
      </c>
      <c r="E28" s="8" t="n">
        <v>1150</v>
      </c>
    </row>
    <row r="29" ht="18" customHeight="1">
      <c r="A29" s="5" t="inlineStr">
        <is>
          <t xml:space="preserve">  Quais &amp; Portes sectionnelles</t>
        </is>
      </c>
    </row>
    <row r="30" ht="13.5" customHeight="1">
      <c r="D30" s="6" t="inlineStr">
        <is>
          <t>— Aucune facture —</t>
        </is>
      </c>
    </row>
    <row r="31" ht="15.8" customHeight="1">
      <c r="A31" s="7" t="inlineStr">
        <is>
          <t xml:space="preserve">    Sous-total — Quais &amp; Portes sectionnelles</t>
        </is>
      </c>
      <c r="E31" s="8" t="n">
        <v>5397</v>
      </c>
    </row>
    <row r="32" ht="18" customHeight="1">
      <c r="A32" s="5" t="inlineStr">
        <is>
          <t xml:space="preserve">  Séparateur hydro.</t>
        </is>
      </c>
    </row>
    <row r="33" ht="13.5" customHeight="1">
      <c r="D33" s="6" t="inlineStr">
        <is>
          <t>— Aucune facture —</t>
        </is>
      </c>
    </row>
    <row r="34" ht="15.8" customHeight="1">
      <c r="A34" s="7" t="inlineStr">
        <is>
          <t xml:space="preserve">    Sous-total — Séparateur hydro.</t>
        </is>
      </c>
      <c r="E34" s="8" t="n">
        <v>3536.4</v>
      </c>
    </row>
    <row r="35" ht="18" customHeight="1">
      <c r="A35" s="5" t="inlineStr">
        <is>
          <t xml:space="preserve">  Sprinklers - RIA - PI - Fioul</t>
        </is>
      </c>
    </row>
    <row r="36" ht="13.5" customHeight="1">
      <c r="D36" s="6" t="inlineStr">
        <is>
          <t>— Aucune facture —</t>
        </is>
      </c>
    </row>
    <row r="37" ht="15.8" customHeight="1">
      <c r="A37" s="7" t="inlineStr">
        <is>
          <t xml:space="preserve">    Sous-total — Sprinklers - RIA - PI - Fioul</t>
        </is>
      </c>
      <c r="E37" s="8" t="n">
        <v>29712.56</v>
      </c>
    </row>
    <row r="38" ht="18" customHeight="1">
      <c r="A38" s="5" t="inlineStr">
        <is>
          <t xml:space="preserve">  SSI</t>
        </is>
      </c>
    </row>
    <row r="39" ht="13.5" customHeight="1">
      <c r="D39" s="6" t="inlineStr">
        <is>
          <t>— Aucune facture —</t>
        </is>
      </c>
    </row>
    <row r="40" ht="15.8" customHeight="1">
      <c r="A40" s="7" t="inlineStr">
        <is>
          <t xml:space="preserve">    Sous-total — SSI</t>
        </is>
      </c>
      <c r="E40" s="8" t="n">
        <v>3455.06</v>
      </c>
    </row>
    <row r="41" ht="18" customHeight="1">
      <c r="A41" s="5" t="inlineStr">
        <is>
          <t xml:space="preserve">  Télésurveillance</t>
        </is>
      </c>
    </row>
    <row r="42" ht="13.5" customHeight="1">
      <c r="D42" s="6" t="inlineStr">
        <is>
          <t>— Aucune facture —</t>
        </is>
      </c>
    </row>
    <row r="43" ht="15.8" customHeight="1">
      <c r="A43" s="7" t="inlineStr">
        <is>
          <t xml:space="preserve">    Sous-total — Télésurveillance</t>
        </is>
      </c>
      <c r="E43" s="8" t="n">
        <v>21381.7</v>
      </c>
    </row>
    <row r="44" ht="18" customHeight="1">
      <c r="A44" s="5" t="inlineStr">
        <is>
          <t xml:space="preserve">  Toiture</t>
        </is>
      </c>
    </row>
    <row r="45" ht="13.5" customHeight="1">
      <c r="D45" s="6" t="inlineStr">
        <is>
          <t>— Aucune facture —</t>
        </is>
      </c>
    </row>
    <row r="46" ht="15.8" customHeight="1">
      <c r="A46" s="7" t="inlineStr">
        <is>
          <t xml:space="preserve">    Sous-total — Toiture</t>
        </is>
      </c>
      <c r="E46" s="8" t="n">
        <v>13339.98</v>
      </c>
    </row>
    <row r="47" ht="21.75" customHeight="1">
      <c r="A47" s="4" t="inlineStr">
        <is>
          <t>── CHARGES NON RECUPERABLES ──</t>
        </is>
      </c>
    </row>
    <row r="48" ht="18" customHeight="1">
      <c r="A48" s="5" t="inlineStr">
        <is>
          <t xml:space="preserve">  Frais Bancaires</t>
        </is>
      </c>
    </row>
    <row r="49" ht="13.5" customHeight="1">
      <c r="D49" s="6" t="inlineStr">
        <is>
          <t>— Aucune facture —</t>
        </is>
      </c>
    </row>
    <row r="50" ht="15.8" customHeight="1">
      <c r="A50" s="7" t="inlineStr">
        <is>
          <t xml:space="preserve">    Sous-total — Frais Bancaires</t>
        </is>
      </c>
      <c r="E50" s="8" t="n">
        <v>28.97</v>
      </c>
    </row>
    <row r="51" ht="18" customHeight="1">
      <c r="A51" s="5" t="inlineStr">
        <is>
          <t xml:space="preserve">  Entretien Courant</t>
        </is>
      </c>
    </row>
    <row r="52" ht="13.5" customHeight="1">
      <c r="D52" s="6" t="inlineStr">
        <is>
          <t>— Aucune facture —</t>
        </is>
      </c>
    </row>
    <row r="53" ht="15.8" customHeight="1">
      <c r="A53" s="7" t="inlineStr">
        <is>
          <t xml:space="preserve">    Sous-total — Entretien Courant</t>
        </is>
      </c>
      <c r="E53" s="8" t="n">
        <v>40526.16</v>
      </c>
    </row>
    <row r="54" ht="18" customHeight="1">
      <c r="A54" s="5" t="inlineStr">
        <is>
          <t xml:space="preserve">  Honoraires Huissiers</t>
        </is>
      </c>
    </row>
    <row r="55" ht="15.05" customHeight="1">
      <c r="A55" s="9" t="inlineStr">
        <is>
          <t>0</t>
        </is>
      </c>
      <c r="B55" s="10" t="n">
        <v>260858.01</v>
      </c>
      <c r="C55" s="9" t="inlineStr"/>
      <c r="D55" s="9" t="inlineStr"/>
      <c r="E55" s="11" t="n">
        <v>355817.63</v>
      </c>
      <c r="F55" s="11" t="n">
        <v>355817.63</v>
      </c>
      <c r="G55" s="11" t="n">
        <v>46865.48</v>
      </c>
    </row>
    <row r="56" ht="15.8" customHeight="1">
      <c r="A56" s="7" t="inlineStr">
        <is>
          <t xml:space="preserve">    Sous-total — Honoraires Huissiers</t>
        </is>
      </c>
      <c r="E56" s="8">
        <f>SUM(E55:E55)</f>
        <v/>
      </c>
      <c r="F56" s="8">
        <f>SUM(F55:F55)</f>
        <v/>
      </c>
      <c r="G56" s="8">
        <f>SUM(G55:G55)</f>
        <v/>
      </c>
    </row>
    <row r="57" ht="21.75" customHeight="1">
      <c r="A57" s="4" t="inlineStr">
        <is>
          <t>── FLUIDES ──</t>
        </is>
      </c>
    </row>
    <row r="58" ht="18" customHeight="1">
      <c r="A58" s="5" t="inlineStr">
        <is>
          <t xml:space="preserve">  Electricité</t>
        </is>
      </c>
    </row>
    <row r="59" ht="13.5" customHeight="1">
      <c r="D59" s="6" t="inlineStr">
        <is>
          <t>— Aucune facture —</t>
        </is>
      </c>
    </row>
    <row r="60" ht="15.8" customHeight="1">
      <c r="A60" s="7" t="inlineStr">
        <is>
          <t xml:space="preserve">    Sous-total — Electricité</t>
        </is>
      </c>
      <c r="E60" s="8" t="n">
        <v>48197.11</v>
      </c>
    </row>
    <row r="61" ht="18" customHeight="1">
      <c r="A61" s="5" t="inlineStr">
        <is>
          <t xml:space="preserve">  Eau</t>
        </is>
      </c>
    </row>
    <row r="62" ht="13.5" customHeight="1">
      <c r="D62" s="6" t="inlineStr">
        <is>
          <t>— Aucune facture —</t>
        </is>
      </c>
    </row>
    <row r="63" ht="15.8" customHeight="1">
      <c r="A63" s="7" t="inlineStr">
        <is>
          <t xml:space="preserve">    Sous-total — Eau</t>
        </is>
      </c>
      <c r="E63" s="8" t="n">
        <v>8091.23</v>
      </c>
    </row>
    <row r="64" ht="18" customHeight="1">
      <c r="A64" s="5" t="inlineStr">
        <is>
          <t xml:space="preserve">  Eau - Incendie</t>
        </is>
      </c>
    </row>
    <row r="65" ht="13.5" customHeight="1">
      <c r="D65" s="6" t="inlineStr">
        <is>
          <t>— Aucune facture —</t>
        </is>
      </c>
    </row>
    <row r="66" ht="15.8" customHeight="1">
      <c r="A66" s="7" t="inlineStr">
        <is>
          <t xml:space="preserve">    Sous-total — Eau - Incendie</t>
        </is>
      </c>
      <c r="E66" s="8" t="n">
        <v>2472.06</v>
      </c>
    </row>
    <row r="67" ht="18" customHeight="1">
      <c r="A67" s="5" t="inlineStr">
        <is>
          <t xml:space="preserve">  Gaz</t>
        </is>
      </c>
    </row>
    <row r="68" ht="13.5" customHeight="1">
      <c r="D68" s="6" t="inlineStr">
        <is>
          <t>— Aucune facture —</t>
        </is>
      </c>
    </row>
    <row r="69" ht="15.8" customHeight="1">
      <c r="A69" s="7" t="inlineStr">
        <is>
          <t xml:space="preserve">    Sous-total — Gaz</t>
        </is>
      </c>
      <c r="E69" s="8" t="n">
        <v>5477.910000000001</v>
      </c>
    </row>
    <row r="70" ht="21.75" customHeight="1">
      <c r="A70" s="4" t="inlineStr">
        <is>
          <t>── TAXES ──</t>
        </is>
      </c>
    </row>
    <row r="71" ht="18" customHeight="1">
      <c r="A71" s="5" t="inlineStr">
        <is>
          <t xml:space="preserve">  Taxe Bureau &amp; Stationnement</t>
        </is>
      </c>
    </row>
    <row r="72" ht="13.5" customHeight="1">
      <c r="D72" s="6" t="inlineStr">
        <is>
          <t>— Aucune facture —</t>
        </is>
      </c>
    </row>
    <row r="73" ht="15.8" customHeight="1">
      <c r="A73" s="7" t="inlineStr">
        <is>
          <t xml:space="preserve">    Sous-total — Taxe Bureau &amp; Stationnement</t>
        </is>
      </c>
      <c r="E73" s="8" t="n">
        <v>112446</v>
      </c>
    </row>
    <row r="74" ht="21.75" customHeight="1">
      <c r="A74" s="4" t="inlineStr">
        <is>
          <t>── HONORAIRES ──</t>
        </is>
      </c>
    </row>
    <row r="75" ht="18" customHeight="1">
      <c r="A75" s="5" t="inlineStr">
        <is>
          <t xml:space="preserve">  Honoraires Divers</t>
        </is>
      </c>
    </row>
    <row r="76" ht="13.5" customHeight="1">
      <c r="D76" s="6" t="inlineStr">
        <is>
          <t>— Aucune facture —</t>
        </is>
      </c>
    </row>
    <row r="77" ht="15.8" customHeight="1">
      <c r="A77" s="7" t="inlineStr">
        <is>
          <t xml:space="preserve">    Sous-total — Honoraires Divers</t>
        </is>
      </c>
      <c r="E77" s="8" t="n">
        <v>700</v>
      </c>
    </row>
    <row r="78" ht="21.75" customHeight="1">
      <c r="A78" s="4" t="inlineStr">
        <is>
          <t>── TRAVAUX ──</t>
        </is>
      </c>
    </row>
    <row r="79" ht="18" customHeight="1">
      <c r="A79" s="5" t="inlineStr">
        <is>
          <t xml:space="preserve">  Entretien Courant</t>
        </is>
      </c>
    </row>
    <row r="80" ht="13.5" customHeight="1">
      <c r="D80" s="6" t="inlineStr">
        <is>
          <t>— Aucune facture —</t>
        </is>
      </c>
    </row>
    <row r="81" ht="15.8" customHeight="1">
      <c r="A81" s="7" t="inlineStr">
        <is>
          <t xml:space="preserve">    Sous-total — Entretien Courant</t>
        </is>
      </c>
      <c r="E81" s="8" t="n">
        <v>23248.79</v>
      </c>
    </row>
    <row r="82" ht="6" customHeight="1"/>
    <row r="83" ht="19.55" customHeight="1">
      <c r="A83" s="5" t="inlineStr">
        <is>
          <t>TOTAL — CHARGES NON RÉCUPÉRABLES</t>
        </is>
      </c>
      <c r="E83" s="12">
        <f>E50+E53+E56</f>
        <v/>
      </c>
    </row>
    <row r="84" ht="6" customHeight="1"/>
    <row r="85" ht="25.55" customHeight="1">
      <c r="A85" s="13" t="inlineStr">
        <is>
          <t>TOTAL GÉNÉRAL — CHARGES RÉCUPÉRABLES</t>
        </is>
      </c>
      <c r="E85" s="14">
        <f>E7+E10+E13+E16+E19+E22+E25+E28+E31+E34+E37+E40+E43+E46+E60+E63+E66+E69+E73+E77+E81</f>
        <v/>
      </c>
    </row>
  </sheetData>
  <mergeCells count="34">
    <mergeCell ref="A22:D22"/>
    <mergeCell ref="A53:D53"/>
    <mergeCell ref="A4:G4"/>
    <mergeCell ref="A43:D43"/>
    <mergeCell ref="A81:D81"/>
    <mergeCell ref="A19:D19"/>
    <mergeCell ref="A63:D63"/>
    <mergeCell ref="A10:D10"/>
    <mergeCell ref="A28:D28"/>
    <mergeCell ref="A13:D13"/>
    <mergeCell ref="A40:D40"/>
    <mergeCell ref="A31:D31"/>
    <mergeCell ref="A77:D77"/>
    <mergeCell ref="A34:D34"/>
    <mergeCell ref="A83:D83"/>
    <mergeCell ref="A73:D73"/>
    <mergeCell ref="A60:D60"/>
    <mergeCell ref="A1:G1"/>
    <mergeCell ref="A70:G70"/>
    <mergeCell ref="A69:D69"/>
    <mergeCell ref="A78:G78"/>
    <mergeCell ref="A7:D7"/>
    <mergeCell ref="A25:D25"/>
    <mergeCell ref="A16:D16"/>
    <mergeCell ref="A46:D46"/>
    <mergeCell ref="A66:D66"/>
    <mergeCell ref="A37:D37"/>
    <mergeCell ref="A56:D56"/>
    <mergeCell ref="A74:G74"/>
    <mergeCell ref="A50:D50"/>
    <mergeCell ref="A2:G2"/>
    <mergeCell ref="A57:G57"/>
    <mergeCell ref="A85:D85"/>
    <mergeCell ref="A47:G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5" t="inlineStr">
        <is>
          <t>MEAUX PN01</t>
        </is>
      </c>
    </row>
    <row r="3" ht="15.8" customHeight="1">
      <c r="A3" s="5" t="inlineStr">
        <is>
          <t>Surface totale site (m²)</t>
        </is>
      </c>
      <c r="C3" s="15" t="n">
        <v>71243.39999999999</v>
      </c>
    </row>
    <row r="4" ht="15.8" customHeight="1">
      <c r="A4" s="5" t="inlineStr">
        <is>
          <t>Année</t>
        </is>
      </c>
      <c r="C4" s="15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5" t="inlineStr">
        <is>
          <t>BAT 1 - MEAUX I</t>
        </is>
      </c>
      <c r="B7" s="16" t="inlineStr">
        <is>
          <t>Occupé</t>
        </is>
      </c>
      <c r="C7" s="17" t="n">
        <v>32653.4</v>
      </c>
      <c r="D7" s="18" t="inlineStr">
        <is>
          <t>MEAUX I</t>
        </is>
      </c>
      <c r="E7" s="19" t="inlineStr">
        <is>
          <t>C&amp;A</t>
        </is>
      </c>
      <c r="F7" s="20" t="n">
        <v>42111</v>
      </c>
      <c r="G7" s="20" t="n">
        <v>46493</v>
      </c>
      <c r="H7" s="21">
        <f>MAX(0,MIN(DATE(2025,12,31),IF(G7="",DATE(2025,12,31),G7))-MAX(DATE(2025,1,1),IF(F7="",DATE(2025,1,1),F7))+1)</f>
        <v/>
      </c>
      <c r="I7" s="22">
        <f>H7/365</f>
        <v/>
      </c>
      <c r="J7" s="21">
        <f>H7</f>
        <v/>
      </c>
      <c r="K7" s="22">
        <f>J7/365</f>
        <v/>
      </c>
    </row>
    <row r="8" ht="15.05" customHeight="1">
      <c r="A8" s="15" t="inlineStr">
        <is>
          <t>C1</t>
        </is>
      </c>
      <c r="B8" s="16" t="inlineStr">
        <is>
          <t>Occupé</t>
        </is>
      </c>
      <c r="C8" s="17" t="n">
        <v>9553</v>
      </c>
      <c r="D8" s="18" t="inlineStr">
        <is>
          <t>MEAUX II</t>
        </is>
      </c>
      <c r="E8" s="19" t="inlineStr">
        <is>
          <t>DELISLE Logistique</t>
        </is>
      </c>
      <c r="F8" s="20" t="n">
        <v>45968</v>
      </c>
      <c r="G8" s="20" t="n">
        <v>50344</v>
      </c>
      <c r="H8" s="23" t="n">
        <v>55</v>
      </c>
      <c r="I8" s="22">
        <f>H8/365</f>
        <v/>
      </c>
      <c r="J8" s="23" t="n">
        <v>31</v>
      </c>
      <c r="K8" s="22">
        <f>J8/365</f>
        <v/>
      </c>
    </row>
    <row r="9" ht="15.05" customHeight="1">
      <c r="A9" s="15" t="inlineStr">
        <is>
          <t>C2</t>
        </is>
      </c>
      <c r="B9" s="24" t="inlineStr">
        <is>
          <t>Vacant</t>
        </is>
      </c>
      <c r="C9" s="17" t="n">
        <v>9717.5</v>
      </c>
      <c r="D9" s="18" t="inlineStr">
        <is>
          <t>MEAUX II</t>
        </is>
      </c>
      <c r="E9" s="19" t="inlineStr"/>
      <c r="F9" s="18" t="n"/>
      <c r="G9" s="18" t="n"/>
      <c r="H9" s="21">
        <f>MAX(0,MIN(DATE(2025,12,31),IF(G9="",DATE(2025,12,31),G9))-MAX(DATE(2025,1,1),IF(F9="",DATE(2025,1,1),F9))+1)</f>
        <v/>
      </c>
      <c r="I9" s="22">
        <f>H9/365</f>
        <v/>
      </c>
      <c r="J9" s="21">
        <f>H9</f>
        <v/>
      </c>
      <c r="K9" s="22">
        <f>J9/365</f>
        <v/>
      </c>
    </row>
    <row r="10" ht="15.05" customHeight="1">
      <c r="A10" s="15" t="inlineStr">
        <is>
          <t>C3</t>
        </is>
      </c>
      <c r="B10" s="16" t="inlineStr">
        <is>
          <t>Occupé</t>
        </is>
      </c>
      <c r="C10" s="17" t="n">
        <v>9525</v>
      </c>
      <c r="D10" s="18" t="inlineStr">
        <is>
          <t>MEAUX II</t>
        </is>
      </c>
      <c r="E10" s="19" t="inlineStr">
        <is>
          <t>SHAOKE Express</t>
        </is>
      </c>
      <c r="F10" s="20" t="n">
        <v>45986</v>
      </c>
      <c r="G10" s="20" t="n">
        <v>50419</v>
      </c>
      <c r="H10" s="23" t="n">
        <v>37</v>
      </c>
      <c r="I10" s="22">
        <f>H10/365</f>
        <v/>
      </c>
      <c r="J10" s="23" t="n">
        <v>0</v>
      </c>
      <c r="K10" s="22">
        <f>J10/365</f>
        <v/>
      </c>
    </row>
    <row r="11" ht="15.05" customHeight="1">
      <c r="A11" s="15" t="inlineStr">
        <is>
          <t>C4</t>
        </is>
      </c>
      <c r="B11" s="24" t="inlineStr">
        <is>
          <t>Vacant</t>
        </is>
      </c>
      <c r="C11" s="17" t="n">
        <v>9794.5</v>
      </c>
      <c r="D11" s="18" t="inlineStr">
        <is>
          <t>MEAUX II</t>
        </is>
      </c>
      <c r="E11" s="19" t="inlineStr"/>
      <c r="F11" s="18" t="n"/>
      <c r="G11" s="18" t="n"/>
      <c r="H11" s="21">
        <f>MAX(0,MIN(DATE(2025,12,31),IF(G11="",DATE(2025,12,31),G11))-MAX(DATE(2025,1,1),IF(F11="",DATE(2025,1,1),F11))+1)</f>
        <v/>
      </c>
      <c r="I11" s="22">
        <f>H11/365</f>
        <v/>
      </c>
      <c r="J11" s="21">
        <f>H11</f>
        <v/>
      </c>
      <c r="K11" s="22">
        <f>J11/365</f>
        <v/>
      </c>
    </row>
    <row r="12" ht="7.55" customHeight="1"/>
    <row r="13" ht="18" customHeight="1">
      <c r="A13" s="25" t="inlineStr">
        <is>
          <t>Poste (lié au Récapitulatif)</t>
        </is>
      </c>
      <c r="C13" s="26" t="inlineStr">
        <is>
          <t>Montant HT (€)</t>
        </is>
      </c>
    </row>
    <row r="14" ht="15.05" customHeight="1">
      <c r="A14" s="27">
        <f>IFERROR(MID('Récapitulatif 2025'!A7,FIND(" — ",'Récapitulatif 2025'!A7)+4,100),"")</f>
        <v/>
      </c>
      <c r="C14" s="28">
        <f>'Récapitulatif 2025'!E7</f>
        <v/>
      </c>
    </row>
    <row r="15" ht="15.05" customHeight="1">
      <c r="A15" s="27">
        <f>IFERROR(MID('Récapitulatif 2025'!A10,FIND(" — ",'Récapitulatif 2025'!A10)+4,100),"")</f>
        <v/>
      </c>
      <c r="C15" s="28">
        <f>'Récapitulatif 2025'!E10</f>
        <v/>
      </c>
    </row>
    <row r="16" ht="15.05" customHeight="1">
      <c r="A16" s="27">
        <f>IFERROR(MID('Récapitulatif 2025'!A13,FIND(" — ",'Récapitulatif 2025'!A13)+4,100),"")</f>
        <v/>
      </c>
      <c r="C16" s="28">
        <f>'Récapitulatif 2025'!E13</f>
        <v/>
      </c>
    </row>
    <row r="17" ht="15.05" customHeight="1">
      <c r="A17" s="27">
        <f>IFERROR(MID('Récapitulatif 2025'!A16,FIND(" — ",'Récapitulatif 2025'!A16)+4,100),"")</f>
        <v/>
      </c>
      <c r="C17" s="28">
        <f>'Récapitulatif 2025'!E16</f>
        <v/>
      </c>
    </row>
    <row r="18" ht="15.05" customHeight="1">
      <c r="A18" s="27">
        <f>IFERROR(MID('Récapitulatif 2025'!A19,FIND(" — ",'Récapitulatif 2025'!A19)+4,100),"")</f>
        <v/>
      </c>
      <c r="C18" s="28">
        <f>'Récapitulatif 2025'!E19</f>
        <v/>
      </c>
    </row>
    <row r="19" ht="15.05" customHeight="1">
      <c r="A19" s="27">
        <f>IFERROR(MID('Récapitulatif 2025'!A22,FIND(" — ",'Récapitulatif 2025'!A22)+4,100),"")</f>
        <v/>
      </c>
      <c r="C19" s="28">
        <f>'Récapitulatif 2025'!E22</f>
        <v/>
      </c>
    </row>
    <row r="20" ht="15.05" customHeight="1">
      <c r="A20" s="27">
        <f>IFERROR(MID('Récapitulatif 2025'!A25,FIND(" — ",'Récapitulatif 2025'!A25)+4,100),"")</f>
        <v/>
      </c>
      <c r="C20" s="28">
        <f>'Récapitulatif 2025'!E25</f>
        <v/>
      </c>
    </row>
    <row r="21" ht="15.05" customHeight="1">
      <c r="A21" s="27">
        <f>IFERROR(MID('Récapitulatif 2025'!A28,FIND(" — ",'Récapitulatif 2025'!A28)+4,100),"")</f>
        <v/>
      </c>
      <c r="C21" s="28">
        <f>'Récapitulatif 2025'!E28</f>
        <v/>
      </c>
    </row>
    <row r="22" ht="15.05" customHeight="1">
      <c r="A22" s="27">
        <f>IFERROR(MID('Récapitulatif 2025'!A31,FIND(" — ",'Récapitulatif 2025'!A31)+4,100),"")</f>
        <v/>
      </c>
      <c r="C22" s="28">
        <f>'Récapitulatif 2025'!E31</f>
        <v/>
      </c>
    </row>
    <row r="23" ht="15.05" customHeight="1">
      <c r="A23" s="27">
        <f>IFERROR(MID('Récapitulatif 2025'!A34,FIND(" — ",'Récapitulatif 2025'!A34)+4,100),"")</f>
        <v/>
      </c>
      <c r="C23" s="28">
        <f>'Récapitulatif 2025'!E34</f>
        <v/>
      </c>
    </row>
    <row r="24" ht="15.05" customHeight="1">
      <c r="A24" s="27">
        <f>IFERROR(MID('Récapitulatif 2025'!A37,FIND(" — ",'Récapitulatif 2025'!A37)+4,100),"")</f>
        <v/>
      </c>
      <c r="C24" s="28">
        <f>'Récapitulatif 2025'!E37</f>
        <v/>
      </c>
    </row>
    <row r="25" ht="15.05" customHeight="1">
      <c r="A25" s="27">
        <f>IFERROR(MID('Récapitulatif 2025'!A40,FIND(" — ",'Récapitulatif 2025'!A40)+4,100),"")</f>
        <v/>
      </c>
      <c r="C25" s="28">
        <f>'Récapitulatif 2025'!E40</f>
        <v/>
      </c>
    </row>
    <row r="26" ht="15.05" customHeight="1">
      <c r="A26" s="27">
        <f>IFERROR(MID('Récapitulatif 2025'!A43,FIND(" — ",'Récapitulatif 2025'!A43)+4,100),"")</f>
        <v/>
      </c>
      <c r="C26" s="28">
        <f>'Récapitulatif 2025'!E43</f>
        <v/>
      </c>
    </row>
    <row r="27" ht="15.05" customHeight="1">
      <c r="A27" s="27">
        <f>IFERROR(MID('Récapitulatif 2025'!A46,FIND(" — ",'Récapitulatif 2025'!A46)+4,100),"")</f>
        <v/>
      </c>
      <c r="C27" s="28">
        <f>'Récapitulatif 2025'!E46</f>
        <v/>
      </c>
    </row>
    <row r="28" ht="15.05" customHeight="1">
      <c r="A28" s="27">
        <f>IFERROR(MID('Récapitulatif 2025'!A50,FIND(" — ",'Récapitulatif 2025'!A50)+4,100),"")</f>
        <v/>
      </c>
      <c r="C28" s="28">
        <f>'Récapitulatif 2025'!E50</f>
        <v/>
      </c>
    </row>
    <row r="29" ht="15.05" customHeight="1">
      <c r="A29" s="27">
        <f>IFERROR(MID('Récapitulatif 2025'!A53,FIND(" — ",'Récapitulatif 2025'!A53)+4,100),"")</f>
        <v/>
      </c>
      <c r="C29" s="28">
        <f>'Récapitulatif 2025'!E53</f>
        <v/>
      </c>
    </row>
    <row r="30" ht="15.05" customHeight="1">
      <c r="A30" s="27">
        <f>IFERROR(MID('Récapitulatif 2025'!A56,FIND(" — ",'Récapitulatif 2025'!A56)+4,100),"")</f>
        <v/>
      </c>
      <c r="C30" s="28">
        <f>'Récapitulatif 2025'!E56</f>
        <v/>
      </c>
    </row>
    <row r="31" ht="15.05" customHeight="1">
      <c r="A31" s="27">
        <f>IFERROR(MID('Récapitulatif 2025'!A60,FIND(" — ",'Récapitulatif 2025'!A60)+4,100),"")</f>
        <v/>
      </c>
      <c r="C31" s="28">
        <f>'Récapitulatif 2025'!E60</f>
        <v/>
      </c>
    </row>
    <row r="32" ht="15.05" customHeight="1">
      <c r="A32" s="27">
        <f>IFERROR(MID('Récapitulatif 2025'!A63,FIND(" — ",'Récapitulatif 2025'!A63)+4,100),"")</f>
        <v/>
      </c>
      <c r="C32" s="28">
        <f>'Récapitulatif 2025'!E63</f>
        <v/>
      </c>
    </row>
    <row r="33" ht="15.05" customHeight="1">
      <c r="A33" s="27">
        <f>IFERROR(MID('Récapitulatif 2025'!A66,FIND(" — ",'Récapitulatif 2025'!A66)+4,100),"")</f>
        <v/>
      </c>
      <c r="C33" s="28">
        <f>'Récapitulatif 2025'!E66</f>
        <v/>
      </c>
    </row>
    <row r="34" ht="15.05" customHeight="1">
      <c r="A34" s="27">
        <f>IFERROR(MID('Récapitulatif 2025'!A69,FIND(" — ",'Récapitulatif 2025'!A69)+4,100),"")</f>
        <v/>
      </c>
      <c r="C34" s="28">
        <f>'Récapitulatif 2025'!E69</f>
        <v/>
      </c>
    </row>
    <row r="35" ht="15.05" customHeight="1">
      <c r="A35" s="27">
        <f>IFERROR(MID('Récapitulatif 2025'!A73,FIND(" — ",'Récapitulatif 2025'!A73)+4,100),"")</f>
        <v/>
      </c>
      <c r="C35" s="28">
        <f>'Récapitulatif 2025'!E73</f>
        <v/>
      </c>
    </row>
    <row r="36" ht="15.05" customHeight="1">
      <c r="A36" s="27">
        <f>IFERROR(MID('Récapitulatif 2025'!A77,FIND(" — ",'Récapitulatif 2025'!A77)+4,100),"")</f>
        <v/>
      </c>
      <c r="C36" s="28">
        <f>'Récapitulatif 2025'!E77</f>
        <v/>
      </c>
    </row>
    <row r="37" ht="15.05" customHeight="1">
      <c r="A37" s="27">
        <f>IFERROR(MID('Récapitulatif 2025'!A81,FIND(" — ",'Récapitulatif 2025'!A81)+4,100),"")</f>
        <v/>
      </c>
      <c r="C37" s="28">
        <f>'Récapitulatif 2025'!E81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CONTRAT MAINTENANCE</t>
        </is>
      </c>
    </row>
    <row r="6" ht="15.05" customHeight="1">
      <c r="A6" s="30" t="inlineStr">
        <is>
          <t>Portails + Barrières automatiques</t>
        </is>
      </c>
      <c r="B6" s="31">
        <f>Paramètres!$C$7/Paramètres!$C$3</f>
        <v/>
      </c>
      <c r="C6" s="32">
        <f>'Récapitulatif 2025'!E7</f>
        <v/>
      </c>
      <c r="D6" s="32">
        <f>B6*C6</f>
        <v/>
      </c>
      <c r="E6" s="33">
        <f>Paramètres!$J$7/365</f>
        <v/>
      </c>
      <c r="F6" s="32">
        <f>D6*E6</f>
        <v/>
      </c>
    </row>
    <row r="7" ht="15.05" customHeight="1">
      <c r="A7" s="30" t="inlineStr">
        <is>
          <t>Séparateur hydro.</t>
        </is>
      </c>
      <c r="B7" s="31">
        <f>Paramètres!$C$7/Paramètres!$C$3</f>
        <v/>
      </c>
      <c r="C7" s="32">
        <f>'Récapitulatif 2025'!E34</f>
        <v/>
      </c>
      <c r="D7" s="32">
        <f>B7*C7</f>
        <v/>
      </c>
      <c r="E7" s="33">
        <f>Paramètres!$J$7/365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Paramètres!$C$7/Paramètres!$C$3</f>
        <v/>
      </c>
      <c r="C8" s="32">
        <f>'Récapitulatif 2025'!E10</f>
        <v/>
      </c>
      <c r="D8" s="32">
        <f>B8*C8</f>
        <v/>
      </c>
      <c r="E8" s="33">
        <f>Paramètres!$J$7/365</f>
        <v/>
      </c>
      <c r="F8" s="32">
        <f>D8*E8</f>
        <v/>
      </c>
    </row>
    <row r="9" ht="15.05" customHeight="1">
      <c r="A9" s="30" t="inlineStr">
        <is>
          <t>Ascenseur</t>
        </is>
      </c>
      <c r="B9" s="31">
        <f>Paramètres!$C$7/Paramètres!$C$3</f>
        <v/>
      </c>
      <c r="C9" s="32">
        <f>'Récapitulatif 2025'!E13</f>
        <v/>
      </c>
      <c r="D9" s="32">
        <f>B9*C9</f>
        <v/>
      </c>
      <c r="E9" s="33">
        <f>Paramètres!$J$7/365</f>
        <v/>
      </c>
      <c r="F9" s="32">
        <f>D9*E9</f>
        <v/>
      </c>
    </row>
    <row r="10" ht="15.05" customHeight="1">
      <c r="A10" s="30" t="inlineStr">
        <is>
          <t>Chaufferie</t>
        </is>
      </c>
      <c r="B10" s="31">
        <f>Paramètres!$C$7/Paramètres!$C$3</f>
        <v/>
      </c>
      <c r="C10" s="32">
        <f>'Récapitulatif 2025'!E16</f>
        <v/>
      </c>
      <c r="D10" s="32">
        <f>B10*C10</f>
        <v/>
      </c>
      <c r="E10" s="33">
        <f>Paramètres!$J$7/365</f>
        <v/>
      </c>
      <c r="F10" s="32">
        <f>D10*E10</f>
        <v/>
      </c>
    </row>
    <row r="11" ht="15.05" customHeight="1">
      <c r="A11" s="30" t="inlineStr">
        <is>
          <t>Désenfumage</t>
        </is>
      </c>
      <c r="B11" s="31">
        <f>Paramètres!$C$7/Paramètres!$C$3</f>
        <v/>
      </c>
      <c r="C11" s="32">
        <f>'Récapitulatif 2025'!E19</f>
        <v/>
      </c>
      <c r="D11" s="32">
        <f>B11*C11</f>
        <v/>
      </c>
      <c r="E11" s="33">
        <f>Paramètres!$J$7/365</f>
        <v/>
      </c>
      <c r="F11" s="32">
        <f>D11*E11</f>
        <v/>
      </c>
    </row>
    <row r="12" ht="15.05" customHeight="1">
      <c r="A12" s="30" t="inlineStr">
        <is>
          <t>Espaces verts</t>
        </is>
      </c>
      <c r="B12" s="31">
        <f>Paramètres!$C$7/Paramètres!$C$3</f>
        <v/>
      </c>
      <c r="C12" s="32">
        <f>'Récapitulatif 2025'!E22</f>
        <v/>
      </c>
      <c r="D12" s="32">
        <f>B12*C12</f>
        <v/>
      </c>
      <c r="E12" s="33">
        <f>Paramètres!$J$7/365</f>
        <v/>
      </c>
      <c r="F12" s="32">
        <f>D12*E12</f>
        <v/>
      </c>
    </row>
    <row r="13" ht="15.05" customHeight="1">
      <c r="A13" s="30" t="inlineStr">
        <is>
          <t>Portes Coupe-Feu</t>
        </is>
      </c>
      <c r="B13" s="31">
        <f>Paramètres!$C$7/Paramètres!$C$3</f>
        <v/>
      </c>
      <c r="C13" s="32">
        <f>'Récapitulatif 2025'!E25</f>
        <v/>
      </c>
      <c r="D13" s="32">
        <f>B13*C13</f>
        <v/>
      </c>
      <c r="E13" s="33">
        <f>Paramètres!$J$7/365</f>
        <v/>
      </c>
      <c r="F13" s="32">
        <f>D13*E13</f>
        <v/>
      </c>
    </row>
    <row r="14" ht="15.05" customHeight="1">
      <c r="A14" s="30" t="inlineStr">
        <is>
          <t>Protection foudre</t>
        </is>
      </c>
      <c r="B14" s="31">
        <f>Paramètres!$C$7/Paramètres!$C$3</f>
        <v/>
      </c>
      <c r="C14" s="32">
        <f>'Récapitulatif 2025'!E28</f>
        <v/>
      </c>
      <c r="D14" s="32">
        <f>B14*C14</f>
        <v/>
      </c>
      <c r="E14" s="33">
        <f>Paramètres!$J$7/365</f>
        <v/>
      </c>
      <c r="F14" s="32">
        <f>D14*E14</f>
        <v/>
      </c>
    </row>
    <row r="15" ht="15.05" customHeight="1">
      <c r="A15" s="30" t="inlineStr">
        <is>
          <t>Quais &amp; Portes sectionnelles</t>
        </is>
      </c>
      <c r="B15" s="31">
        <f>Paramètres!$C$7/Paramètres!$C$3</f>
        <v/>
      </c>
      <c r="C15" s="32">
        <f>'Récapitulatif 2025'!E31</f>
        <v/>
      </c>
      <c r="D15" s="32">
        <f>B15*C15</f>
        <v/>
      </c>
      <c r="E15" s="33">
        <f>Paramètres!$J$7/365</f>
        <v/>
      </c>
      <c r="F15" s="32">
        <f>D15*E15</f>
        <v/>
      </c>
    </row>
    <row r="16" ht="15.05" customHeight="1">
      <c r="A16" s="30" t="inlineStr">
        <is>
          <t>Sprinklers - RIA - PI - Fioul</t>
        </is>
      </c>
      <c r="B16" s="31">
        <f>Paramètres!$C$7/Paramètres!$C$3</f>
        <v/>
      </c>
      <c r="C16" s="32">
        <f>'Récapitulatif 2025'!E37</f>
        <v/>
      </c>
      <c r="D16" s="32">
        <f>B16*C16</f>
        <v/>
      </c>
      <c r="E16" s="33">
        <f>Paramètres!$J$7/365</f>
        <v/>
      </c>
      <c r="F16" s="32">
        <f>D16*E16</f>
        <v/>
      </c>
    </row>
    <row r="17" ht="15.05" customHeight="1">
      <c r="A17" s="30" t="inlineStr">
        <is>
          <t>SSI</t>
        </is>
      </c>
      <c r="B17" s="31">
        <f>Paramètres!$C$7/Paramètres!$C$3</f>
        <v/>
      </c>
      <c r="C17" s="32">
        <f>'Récapitulatif 2025'!E40</f>
        <v/>
      </c>
      <c r="D17" s="32">
        <f>B17*C17</f>
        <v/>
      </c>
      <c r="E17" s="33">
        <f>Paramètres!$J$7/365</f>
        <v/>
      </c>
      <c r="F17" s="32">
        <f>D17*E17</f>
        <v/>
      </c>
    </row>
    <row r="18" ht="15.05" customHeight="1">
      <c r="A18" s="30" t="inlineStr">
        <is>
          <t>Télésurveillance</t>
        </is>
      </c>
      <c r="B18" s="31">
        <f>Paramètres!$C$7/Paramètres!$C$3</f>
        <v/>
      </c>
      <c r="C18" s="32">
        <f>'Récapitulatif 2025'!E43</f>
        <v/>
      </c>
      <c r="D18" s="32">
        <f>B18*C18</f>
        <v/>
      </c>
      <c r="E18" s="33">
        <f>Paramètres!$J$7/365</f>
        <v/>
      </c>
      <c r="F18" s="32">
        <f>D18*E18</f>
        <v/>
      </c>
    </row>
    <row r="19" ht="15.05" customHeight="1">
      <c r="A19" s="30" t="inlineStr">
        <is>
          <t>Toiture</t>
        </is>
      </c>
      <c r="B19" s="31">
        <f>Paramètres!$C$7/Paramètres!$C$3</f>
        <v/>
      </c>
      <c r="C19" s="32">
        <f>'Récapitulatif 2025'!E46</f>
        <v/>
      </c>
      <c r="D19" s="32">
        <f>B19*C19</f>
        <v/>
      </c>
      <c r="E19" s="33">
        <f>Paramètres!$J$7/365</f>
        <v/>
      </c>
      <c r="F19" s="32">
        <f>D19*E19</f>
        <v/>
      </c>
    </row>
    <row r="20" ht="18" customHeight="1">
      <c r="A20" s="7" t="inlineStr">
        <is>
          <t>Sous-total — CONTRAT MAINTENANCE</t>
        </is>
      </c>
      <c r="C20" s="8">
        <f>SUM(C6:C19)</f>
        <v/>
      </c>
      <c r="D20" s="8">
        <f>SUM(D6:D19)</f>
        <v/>
      </c>
      <c r="E20" s="34" t="n"/>
      <c r="F20" s="8">
        <f>SUM(F6:F19)</f>
        <v/>
      </c>
    </row>
    <row r="21" ht="18" customHeight="1">
      <c r="A21" s="5" t="inlineStr">
        <is>
          <t>FLUIDES</t>
        </is>
      </c>
    </row>
    <row r="22" ht="15.05" customHeight="1">
      <c r="A22" s="30" t="inlineStr">
        <is>
          <t>Electricité</t>
        </is>
      </c>
      <c r="B22" s="31">
        <f>Paramètres!$C$7/Paramètres!$C$3</f>
        <v/>
      </c>
      <c r="C22" s="32">
        <f>'Récapitulatif 2025'!E60</f>
        <v/>
      </c>
      <c r="D22" s="32">
        <f>B22*C22</f>
        <v/>
      </c>
      <c r="E22" s="33">
        <f>Paramètres!$H$7/365</f>
        <v/>
      </c>
      <c r="F22" s="32">
        <f>D22*E22</f>
        <v/>
      </c>
    </row>
    <row r="23" ht="15.05" customHeight="1">
      <c r="A23" s="30" t="inlineStr">
        <is>
          <t>Eau</t>
        </is>
      </c>
      <c r="B23" s="31">
        <f>Paramètres!$C$7/Paramètres!$C$3</f>
        <v/>
      </c>
      <c r="C23" s="32">
        <f>'Récapitulatif 2025'!E63</f>
        <v/>
      </c>
      <c r="D23" s="32">
        <f>B23*C23</f>
        <v/>
      </c>
      <c r="E23" s="33">
        <f>Paramètres!$H$7/365</f>
        <v/>
      </c>
      <c r="F23" s="32">
        <f>D23*E23</f>
        <v/>
      </c>
    </row>
    <row r="24" ht="15.05" customHeight="1">
      <c r="A24" s="30" t="inlineStr">
        <is>
          <t>Eau - Incendie</t>
        </is>
      </c>
      <c r="B24" s="31">
        <f>Paramètres!$C$7/Paramètres!$C$3</f>
        <v/>
      </c>
      <c r="C24" s="32">
        <f>'Récapitulatif 2025'!E66</f>
        <v/>
      </c>
      <c r="D24" s="32">
        <f>B24*C24</f>
        <v/>
      </c>
      <c r="E24" s="33">
        <f>Paramètres!$H$7/365</f>
        <v/>
      </c>
      <c r="F24" s="32">
        <f>D24*E24</f>
        <v/>
      </c>
    </row>
    <row r="25" ht="15.05" customHeight="1">
      <c r="A25" s="30" t="inlineStr">
        <is>
          <t>Gaz</t>
        </is>
      </c>
      <c r="B25" s="31">
        <f>Paramètres!$C$7/Paramètres!$C$3</f>
        <v/>
      </c>
      <c r="C25" s="32">
        <f>'Récapitulatif 2025'!E69</f>
        <v/>
      </c>
      <c r="D25" s="32">
        <f>B25*C25</f>
        <v/>
      </c>
      <c r="E25" s="33">
        <f>Paramètres!$H$7/365</f>
        <v/>
      </c>
      <c r="F25" s="32">
        <f>D25*E25</f>
        <v/>
      </c>
    </row>
    <row r="26" ht="18" customHeight="1">
      <c r="A26" s="7" t="inlineStr">
        <is>
          <t>Sous-total — FLUIDES</t>
        </is>
      </c>
      <c r="C26" s="8">
        <f>SUM(C22:C25)</f>
        <v/>
      </c>
      <c r="D26" s="8">
        <f>SUM(D22:D25)</f>
        <v/>
      </c>
      <c r="E26" s="34" t="n"/>
      <c r="F26" s="8">
        <f>SUM(F22:F25)</f>
        <v/>
      </c>
    </row>
    <row r="27" ht="18" customHeight="1">
      <c r="A27" s="5" t="inlineStr">
        <is>
          <t>TAXES</t>
        </is>
      </c>
    </row>
    <row r="28" ht="15.05" customHeight="1">
      <c r="A28" s="30" t="inlineStr">
        <is>
          <t>Taxe Bureau &amp; Stationnement</t>
        </is>
      </c>
      <c r="B28" s="31">
        <f>Paramètres!$C$7/Paramètres!$C$3</f>
        <v/>
      </c>
      <c r="C28" s="32">
        <f>'Récapitulatif 2025'!E73</f>
        <v/>
      </c>
      <c r="D28" s="32">
        <f>B28*C28</f>
        <v/>
      </c>
      <c r="E28" s="33">
        <f>Paramètres!$J$7/365</f>
        <v/>
      </c>
      <c r="F28" s="32">
        <f>D28*E28</f>
        <v/>
      </c>
    </row>
    <row r="29" ht="18" customHeight="1">
      <c r="A29" s="7" t="inlineStr">
        <is>
          <t>Sous-total — TAXES</t>
        </is>
      </c>
      <c r="C29" s="8">
        <f>SUM(C28:C28)</f>
        <v/>
      </c>
      <c r="D29" s="8">
        <f>SUM(D28:D28)</f>
        <v/>
      </c>
      <c r="E29" s="34" t="n"/>
      <c r="F29" s="8">
        <f>SUM(F28:F28)</f>
        <v/>
      </c>
    </row>
    <row r="30" ht="18" customHeight="1">
      <c r="A30" s="5" t="inlineStr">
        <is>
          <t>HONORAIRES</t>
        </is>
      </c>
    </row>
    <row r="31" ht="15.05" customHeight="1">
      <c r="A31" s="30" t="inlineStr">
        <is>
          <t>Honoraires Divers</t>
        </is>
      </c>
      <c r="B31" s="31">
        <f>Paramètres!$C$7/Paramètres!$C$3</f>
        <v/>
      </c>
      <c r="C31" s="32">
        <f>'Récapitulatif 2025'!E77</f>
        <v/>
      </c>
      <c r="D31" s="32">
        <f>B31*C31</f>
        <v/>
      </c>
      <c r="E31" s="33">
        <f>Paramètres!$J$7/365</f>
        <v/>
      </c>
      <c r="F31" s="32">
        <f>D31*E31</f>
        <v/>
      </c>
    </row>
    <row r="32" ht="18" customHeight="1">
      <c r="A32" s="7" t="inlineStr">
        <is>
          <t>Sous-total — HONORAIRES</t>
        </is>
      </c>
      <c r="C32" s="8">
        <f>SUM(C31:C31)</f>
        <v/>
      </c>
      <c r="D32" s="8">
        <f>SUM(D31:D31)</f>
        <v/>
      </c>
      <c r="E32" s="34" t="n"/>
      <c r="F32" s="8">
        <f>SUM(F31:F31)</f>
        <v/>
      </c>
    </row>
    <row r="33" ht="18" customHeight="1">
      <c r="A33" s="5" t="inlineStr">
        <is>
          <t>TRAVAUX</t>
        </is>
      </c>
    </row>
    <row r="34" ht="15.05" customHeight="1">
      <c r="A34" s="30" t="inlineStr">
        <is>
          <t>Entretien Courant</t>
        </is>
      </c>
      <c r="B34" s="31">
        <f>Paramètres!$C$7/Paramètres!$C$3</f>
        <v/>
      </c>
      <c r="C34" s="32">
        <f>'Récapitulatif 2025'!E81</f>
        <v/>
      </c>
      <c r="D34" s="32">
        <f>B34*C34</f>
        <v/>
      </c>
      <c r="E34" s="33">
        <f>Paramètres!$J$7/365</f>
        <v/>
      </c>
      <c r="F34" s="32">
        <f>D34*E34</f>
        <v/>
      </c>
    </row>
    <row r="35" ht="18" customHeight="1">
      <c r="A35" s="7" t="inlineStr">
        <is>
          <t>Sous-total — TRAVAUX</t>
        </is>
      </c>
      <c r="C35" s="8">
        <f>SUM(C34:C34)</f>
        <v/>
      </c>
      <c r="D35" s="8">
        <f>SUM(D34:D34)</f>
        <v/>
      </c>
      <c r="E35" s="34" t="n"/>
      <c r="F35" s="8">
        <f>SUM(F34:F34)</f>
        <v/>
      </c>
    </row>
    <row r="36" ht="7.55" customHeight="1"/>
    <row r="37" ht="21.75" customHeight="1">
      <c r="A37" s="13" t="inlineStr">
        <is>
          <t>TOTAL CHARGES RÉCUPÉRABLES RÉELLES (€ HT)</t>
        </is>
      </c>
      <c r="C37" s="14">
        <f>C20+C26+C29+C32+C35</f>
        <v/>
      </c>
      <c r="D37" s="14">
        <f>D20+D26+D29+D32+D35</f>
        <v/>
      </c>
      <c r="E37" s="35" t="n"/>
      <c r="F37" s="14">
        <f>F20+F26+F29+F32+F35</f>
        <v/>
      </c>
    </row>
    <row r="38" ht="7.55" customHeight="1"/>
    <row r="39" ht="19.55" customHeight="1">
      <c r="A39" s="5" t="inlineStr">
        <is>
          <t>Provisions pour charges versées</t>
        </is>
      </c>
      <c r="C39" s="36" t="n"/>
      <c r="D39" s="26" t="inlineStr">
        <is>
          <t>Montant annuel (€)</t>
        </is>
      </c>
      <c r="E39" s="36" t="n"/>
      <c r="F39" s="26" t="inlineStr">
        <is>
          <t>Montant locataire (€)</t>
        </is>
      </c>
    </row>
    <row r="40" ht="15.8" customHeight="1">
      <c r="A40" s="19" t="inlineStr">
        <is>
          <t xml:space="preserve">  1er trimestre (T1)</t>
        </is>
      </c>
    </row>
    <row r="41" ht="15.8" customHeight="1">
      <c r="A41" s="19" t="inlineStr">
        <is>
          <t xml:space="preserve">  2e trimestre (T2)</t>
        </is>
      </c>
    </row>
    <row r="42" ht="15.8" customHeight="1">
      <c r="A42" s="19" t="inlineStr">
        <is>
          <t xml:space="preserve">  3e trimestre (T3)</t>
        </is>
      </c>
    </row>
    <row r="43" ht="15.8" customHeight="1">
      <c r="A43" s="19" t="inlineStr">
        <is>
          <t xml:space="preserve">  4e trimestre (T4)</t>
        </is>
      </c>
    </row>
    <row r="44" ht="18" customHeight="1">
      <c r="A44" s="7" t="inlineStr">
        <is>
          <t>Total provisions pour charges versées →</t>
        </is>
      </c>
      <c r="D44" s="8">
        <f>SUM(D40:D43)</f>
        <v/>
      </c>
      <c r="E44" s="34" t="n"/>
      <c r="F44" s="8">
        <f>SUM(F40:F43)</f>
        <v/>
      </c>
    </row>
    <row r="45" ht="7.55" customHeight="1"/>
    <row r="46" ht="21.75" customHeight="1">
      <c r="A46" s="37">
        <f>IF(F37-F44&gt;0,"SOLDE DÉBITEUR","SOLDE CRÉDITEUR")</f>
        <v/>
      </c>
      <c r="D46" s="38">
        <f>D37-D44</f>
        <v/>
      </c>
      <c r="E46" s="36" t="n"/>
      <c r="F46" s="38">
        <f>F37-F44</f>
        <v/>
      </c>
    </row>
    <row r="48" ht="27.75" customHeight="1">
      <c r="A48" s="39" t="inlineStr">
        <is>
          <t>ℹ  Clé répartition = surface lot ÷ surface totale site. Période = nombre de jours d'occupation ÷ 365.</t>
        </is>
      </c>
    </row>
  </sheetData>
  <mergeCells count="18">
    <mergeCell ref="A2:F2"/>
    <mergeCell ref="A20:B20"/>
    <mergeCell ref="A26:B26"/>
    <mergeCell ref="A30:F30"/>
    <mergeCell ref="A33:F33"/>
    <mergeCell ref="A29:B29"/>
    <mergeCell ref="A44:C44"/>
    <mergeCell ref="A46:C46"/>
    <mergeCell ref="A1:F1"/>
    <mergeCell ref="A5:F5"/>
    <mergeCell ref="A27:F27"/>
    <mergeCell ref="A37:B37"/>
    <mergeCell ref="A32:B32"/>
    <mergeCell ref="A48:F48"/>
    <mergeCell ref="A3:F3"/>
    <mergeCell ref="A21:F21"/>
    <mergeCell ref="A39:B39"/>
    <mergeCell ref="A35:B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CONTRAT MAINTENANCE</t>
        </is>
      </c>
    </row>
    <row r="6" ht="15.05" customHeight="1">
      <c r="A6" s="30" t="inlineStr">
        <is>
          <t>Portails + Barrières automatiques</t>
        </is>
      </c>
      <c r="B6" s="31">
        <f>Paramètres!$C$8/Paramètres!$C$3</f>
        <v/>
      </c>
      <c r="C6" s="32">
        <f>'Récapitulatif 2025'!E7</f>
        <v/>
      </c>
      <c r="D6" s="32">
        <f>B6*C6</f>
        <v/>
      </c>
      <c r="E6" s="33">
        <f>Paramètres!$J$8/365</f>
        <v/>
      </c>
      <c r="F6" s="32">
        <f>D6*E6</f>
        <v/>
      </c>
    </row>
    <row r="7" ht="15.05" customHeight="1">
      <c r="A7" s="30" t="inlineStr">
        <is>
          <t>Séparateur hydro.</t>
        </is>
      </c>
      <c r="B7" s="31">
        <f>Paramètres!$C$8/Paramètres!$C$3</f>
        <v/>
      </c>
      <c r="C7" s="32">
        <f>'Récapitulatif 2025'!E34</f>
        <v/>
      </c>
      <c r="D7" s="32">
        <f>B7*C7</f>
        <v/>
      </c>
      <c r="E7" s="33">
        <f>Paramètres!$J$8/365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Paramètres!$C$8/Paramètres!$C$3</f>
        <v/>
      </c>
      <c r="C8" s="32">
        <f>'Récapitulatif 2025'!E10</f>
        <v/>
      </c>
      <c r="D8" s="32">
        <f>B8*C8</f>
        <v/>
      </c>
      <c r="E8" s="33">
        <f>Paramètres!$J$8/365</f>
        <v/>
      </c>
      <c r="F8" s="32">
        <f>D8*E8</f>
        <v/>
      </c>
    </row>
    <row r="9" ht="15.05" customHeight="1">
      <c r="A9" s="30" t="inlineStr">
        <is>
          <t>Ascenseur</t>
        </is>
      </c>
      <c r="B9" s="31">
        <f>Paramètres!$C$8/Paramètres!$C$3</f>
        <v/>
      </c>
      <c r="C9" s="32">
        <f>'Récapitulatif 2025'!E13</f>
        <v/>
      </c>
      <c r="D9" s="32">
        <f>B9*C9</f>
        <v/>
      </c>
      <c r="E9" s="33">
        <f>Paramètres!$J$8/365</f>
        <v/>
      </c>
      <c r="F9" s="32">
        <f>D9*E9</f>
        <v/>
      </c>
    </row>
    <row r="10" ht="15.05" customHeight="1">
      <c r="A10" s="30" t="inlineStr">
        <is>
          <t>Chaufferie</t>
        </is>
      </c>
      <c r="B10" s="31">
        <f>Paramètres!$C$8/Paramètres!$C$3</f>
        <v/>
      </c>
      <c r="C10" s="32">
        <f>'Récapitulatif 2025'!E16</f>
        <v/>
      </c>
      <c r="D10" s="32">
        <f>B10*C10</f>
        <v/>
      </c>
      <c r="E10" s="33">
        <f>Paramètres!$J$8/365</f>
        <v/>
      </c>
      <c r="F10" s="32">
        <f>D10*E10</f>
        <v/>
      </c>
    </row>
    <row r="11" ht="15.05" customHeight="1">
      <c r="A11" s="30" t="inlineStr">
        <is>
          <t>Désenfumage</t>
        </is>
      </c>
      <c r="B11" s="31">
        <f>Paramètres!$C$8/Paramètres!$C$3</f>
        <v/>
      </c>
      <c r="C11" s="32">
        <f>'Récapitulatif 2025'!E19</f>
        <v/>
      </c>
      <c r="D11" s="32">
        <f>B11*C11</f>
        <v/>
      </c>
      <c r="E11" s="33">
        <f>Paramètres!$J$8/365</f>
        <v/>
      </c>
      <c r="F11" s="32">
        <f>D11*E11</f>
        <v/>
      </c>
    </row>
    <row r="12" ht="15.05" customHeight="1">
      <c r="A12" s="30" t="inlineStr">
        <is>
          <t>Espaces verts</t>
        </is>
      </c>
      <c r="B12" s="31">
        <f>Paramètres!$C$8/Paramètres!$C$3</f>
        <v/>
      </c>
      <c r="C12" s="32">
        <f>'Récapitulatif 2025'!E22</f>
        <v/>
      </c>
      <c r="D12" s="32">
        <f>B12*C12</f>
        <v/>
      </c>
      <c r="E12" s="33">
        <f>Paramètres!$J$8/365</f>
        <v/>
      </c>
      <c r="F12" s="32">
        <f>D12*E12</f>
        <v/>
      </c>
    </row>
    <row r="13" ht="15.05" customHeight="1">
      <c r="A13" s="30" t="inlineStr">
        <is>
          <t>Portes Coupe-Feu</t>
        </is>
      </c>
      <c r="B13" s="31">
        <f>Paramètres!$C$8/Paramètres!$C$3</f>
        <v/>
      </c>
      <c r="C13" s="32">
        <f>'Récapitulatif 2025'!E25</f>
        <v/>
      </c>
      <c r="D13" s="32">
        <f>B13*C13</f>
        <v/>
      </c>
      <c r="E13" s="33">
        <f>Paramètres!$J$8/365</f>
        <v/>
      </c>
      <c r="F13" s="32">
        <f>D13*E13</f>
        <v/>
      </c>
    </row>
    <row r="14" ht="15.05" customHeight="1">
      <c r="A14" s="30" t="inlineStr">
        <is>
          <t>Protection foudre</t>
        </is>
      </c>
      <c r="B14" s="31">
        <f>Paramètres!$C$8/Paramètres!$C$3</f>
        <v/>
      </c>
      <c r="C14" s="32">
        <f>'Récapitulatif 2025'!E28</f>
        <v/>
      </c>
      <c r="D14" s="32">
        <f>B14*C14</f>
        <v/>
      </c>
      <c r="E14" s="33">
        <f>Paramètres!$J$8/365</f>
        <v/>
      </c>
      <c r="F14" s="32">
        <f>D14*E14</f>
        <v/>
      </c>
    </row>
    <row r="15" ht="15.05" customHeight="1">
      <c r="A15" s="30" t="inlineStr">
        <is>
          <t>Quais &amp; Portes sectionnelles</t>
        </is>
      </c>
      <c r="B15" s="31">
        <f>Paramètres!$C$8/Paramètres!$C$3</f>
        <v/>
      </c>
      <c r="C15" s="32">
        <f>'Récapitulatif 2025'!E31</f>
        <v/>
      </c>
      <c r="D15" s="32">
        <f>B15*C15</f>
        <v/>
      </c>
      <c r="E15" s="33">
        <f>Paramètres!$J$8/365</f>
        <v/>
      </c>
      <c r="F15" s="32">
        <f>D15*E15</f>
        <v/>
      </c>
    </row>
    <row r="16" ht="15.05" customHeight="1">
      <c r="A16" s="30" t="inlineStr">
        <is>
          <t>Sprinklers - RIA - PI - Fioul</t>
        </is>
      </c>
      <c r="B16" s="31">
        <f>Paramètres!$C$8/Paramètres!$C$3</f>
        <v/>
      </c>
      <c r="C16" s="32">
        <f>'Récapitulatif 2025'!E37</f>
        <v/>
      </c>
      <c r="D16" s="32">
        <f>B16*C16</f>
        <v/>
      </c>
      <c r="E16" s="33">
        <f>Paramètres!$J$8/365</f>
        <v/>
      </c>
      <c r="F16" s="32">
        <f>D16*E16</f>
        <v/>
      </c>
    </row>
    <row r="17" ht="15.05" customHeight="1">
      <c r="A17" s="30" t="inlineStr">
        <is>
          <t>SSI</t>
        </is>
      </c>
      <c r="B17" s="31">
        <f>Paramètres!$C$8/Paramètres!$C$3</f>
        <v/>
      </c>
      <c r="C17" s="32">
        <f>'Récapitulatif 2025'!E40</f>
        <v/>
      </c>
      <c r="D17" s="32">
        <f>B17*C17</f>
        <v/>
      </c>
      <c r="E17" s="33">
        <f>Paramètres!$J$8/365</f>
        <v/>
      </c>
      <c r="F17" s="32">
        <f>D17*E17</f>
        <v/>
      </c>
    </row>
    <row r="18" ht="15.05" customHeight="1">
      <c r="A18" s="30" t="inlineStr">
        <is>
          <t>Télésurveillance</t>
        </is>
      </c>
      <c r="B18" s="31">
        <f>Paramètres!$C$8/Paramètres!$C$3</f>
        <v/>
      </c>
      <c r="C18" s="32">
        <f>'Récapitulatif 2025'!E43</f>
        <v/>
      </c>
      <c r="D18" s="32">
        <f>B18*C18</f>
        <v/>
      </c>
      <c r="E18" s="33">
        <f>Paramètres!$J$8/365</f>
        <v/>
      </c>
      <c r="F18" s="32">
        <f>D18*E18</f>
        <v/>
      </c>
    </row>
    <row r="19" ht="15.05" customHeight="1">
      <c r="A19" s="30" t="inlineStr">
        <is>
          <t>Toiture</t>
        </is>
      </c>
      <c r="B19" s="31">
        <f>Paramètres!$C$8/Paramètres!$C$3</f>
        <v/>
      </c>
      <c r="C19" s="32">
        <f>'Récapitulatif 2025'!E46</f>
        <v/>
      </c>
      <c r="D19" s="32">
        <f>B19*C19</f>
        <v/>
      </c>
      <c r="E19" s="33">
        <f>Paramètres!$J$8/365</f>
        <v/>
      </c>
      <c r="F19" s="32">
        <f>D19*E19</f>
        <v/>
      </c>
    </row>
    <row r="20" ht="18" customHeight="1">
      <c r="A20" s="7" t="inlineStr">
        <is>
          <t>Sous-total — CONTRAT MAINTENANCE</t>
        </is>
      </c>
      <c r="C20" s="8">
        <f>SUM(C6:C19)</f>
        <v/>
      </c>
      <c r="D20" s="8">
        <f>SUM(D6:D19)</f>
        <v/>
      </c>
      <c r="E20" s="34" t="n"/>
      <c r="F20" s="8">
        <f>SUM(F6:F19)</f>
        <v/>
      </c>
    </row>
    <row r="21" ht="18" customHeight="1">
      <c r="A21" s="5" t="inlineStr">
        <is>
          <t>FLUIDES</t>
        </is>
      </c>
    </row>
    <row r="22" ht="15.05" customHeight="1">
      <c r="A22" s="30" t="inlineStr">
        <is>
          <t>Electricité</t>
        </is>
      </c>
      <c r="B22" s="31">
        <f>Paramètres!$C$8/Paramètres!$C$3</f>
        <v/>
      </c>
      <c r="C22" s="32">
        <f>'Récapitulatif 2025'!E60</f>
        <v/>
      </c>
      <c r="D22" s="32">
        <f>B22*C22</f>
        <v/>
      </c>
      <c r="E22" s="33">
        <f>Paramètres!$H$8/365</f>
        <v/>
      </c>
      <c r="F22" s="32">
        <f>D22*E22</f>
        <v/>
      </c>
    </row>
    <row r="23" ht="15.05" customHeight="1">
      <c r="A23" s="30" t="inlineStr">
        <is>
          <t>Eau</t>
        </is>
      </c>
      <c r="B23" s="31">
        <f>Paramètres!$C$8/Paramètres!$C$3</f>
        <v/>
      </c>
      <c r="C23" s="32">
        <f>'Récapitulatif 2025'!E63</f>
        <v/>
      </c>
      <c r="D23" s="32">
        <f>B23*C23</f>
        <v/>
      </c>
      <c r="E23" s="33">
        <f>Paramètres!$H$8/365</f>
        <v/>
      </c>
      <c r="F23" s="32">
        <f>D23*E23</f>
        <v/>
      </c>
    </row>
    <row r="24" ht="15.05" customHeight="1">
      <c r="A24" s="30" t="inlineStr">
        <is>
          <t>Eau - Incendie</t>
        </is>
      </c>
      <c r="B24" s="31">
        <f>Paramètres!$C$8/Paramètres!$C$3</f>
        <v/>
      </c>
      <c r="C24" s="32">
        <f>'Récapitulatif 2025'!E66</f>
        <v/>
      </c>
      <c r="D24" s="32">
        <f>B24*C24</f>
        <v/>
      </c>
      <c r="E24" s="33">
        <f>Paramètres!$H$8/365</f>
        <v/>
      </c>
      <c r="F24" s="32">
        <f>D24*E24</f>
        <v/>
      </c>
    </row>
    <row r="25" ht="15.05" customHeight="1">
      <c r="A25" s="30" t="inlineStr">
        <is>
          <t>Gaz</t>
        </is>
      </c>
      <c r="B25" s="31">
        <f>Paramètres!$C$8/Paramètres!$C$3</f>
        <v/>
      </c>
      <c r="C25" s="32">
        <f>'Récapitulatif 2025'!E69</f>
        <v/>
      </c>
      <c r="D25" s="32">
        <f>B25*C25</f>
        <v/>
      </c>
      <c r="E25" s="33">
        <f>Paramètres!$H$8/365</f>
        <v/>
      </c>
      <c r="F25" s="32">
        <f>D25*E25</f>
        <v/>
      </c>
    </row>
    <row r="26" ht="18" customHeight="1">
      <c r="A26" s="7" t="inlineStr">
        <is>
          <t>Sous-total — FLUIDES</t>
        </is>
      </c>
      <c r="C26" s="8">
        <f>SUM(C22:C25)</f>
        <v/>
      </c>
      <c r="D26" s="8">
        <f>SUM(D22:D25)</f>
        <v/>
      </c>
      <c r="E26" s="34" t="n"/>
      <c r="F26" s="8">
        <f>SUM(F22:F25)</f>
        <v/>
      </c>
    </row>
    <row r="27" ht="18" customHeight="1">
      <c r="A27" s="5" t="inlineStr">
        <is>
          <t>TAXES</t>
        </is>
      </c>
    </row>
    <row r="28" ht="15.05" customHeight="1">
      <c r="A28" s="30" t="inlineStr">
        <is>
          <t>Taxe Bureau &amp; Stationnement</t>
        </is>
      </c>
      <c r="B28" s="31">
        <f>Paramètres!$C$8/Paramètres!$C$3</f>
        <v/>
      </c>
      <c r="C28" s="32">
        <f>'Récapitulatif 2025'!E73</f>
        <v/>
      </c>
      <c r="D28" s="32">
        <f>B28*C28</f>
        <v/>
      </c>
      <c r="E28" s="33">
        <f>Paramètres!$J$8/365</f>
        <v/>
      </c>
      <c r="F28" s="32">
        <f>D28*E28</f>
        <v/>
      </c>
    </row>
    <row r="29" ht="18" customHeight="1">
      <c r="A29" s="7" t="inlineStr">
        <is>
          <t>Sous-total — TAXES</t>
        </is>
      </c>
      <c r="C29" s="8">
        <f>SUM(C28:C28)</f>
        <v/>
      </c>
      <c r="D29" s="8">
        <f>SUM(D28:D28)</f>
        <v/>
      </c>
      <c r="E29" s="34" t="n"/>
      <c r="F29" s="8">
        <f>SUM(F28:F28)</f>
        <v/>
      </c>
    </row>
    <row r="30" ht="18" customHeight="1">
      <c r="A30" s="5" t="inlineStr">
        <is>
          <t>HONORAIRES</t>
        </is>
      </c>
    </row>
    <row r="31" ht="15.05" customHeight="1">
      <c r="A31" s="30" t="inlineStr">
        <is>
          <t>Honoraires Divers</t>
        </is>
      </c>
      <c r="B31" s="31">
        <f>Paramètres!$C$8/Paramètres!$C$3</f>
        <v/>
      </c>
      <c r="C31" s="32">
        <f>'Récapitulatif 2025'!E77</f>
        <v/>
      </c>
      <c r="D31" s="32">
        <f>B31*C31</f>
        <v/>
      </c>
      <c r="E31" s="33">
        <f>Paramètres!$J$8/365</f>
        <v/>
      </c>
      <c r="F31" s="32">
        <f>D31*E31</f>
        <v/>
      </c>
    </row>
    <row r="32" ht="18" customHeight="1">
      <c r="A32" s="7" t="inlineStr">
        <is>
          <t>Sous-total — HONORAIRES</t>
        </is>
      </c>
      <c r="C32" s="8">
        <f>SUM(C31:C31)</f>
        <v/>
      </c>
      <c r="D32" s="8">
        <f>SUM(D31:D31)</f>
        <v/>
      </c>
      <c r="E32" s="34" t="n"/>
      <c r="F32" s="8">
        <f>SUM(F31:F31)</f>
        <v/>
      </c>
    </row>
    <row r="33" ht="18" customHeight="1">
      <c r="A33" s="5" t="inlineStr">
        <is>
          <t>TRAVAUX</t>
        </is>
      </c>
    </row>
    <row r="34" ht="15.05" customHeight="1">
      <c r="A34" s="30" t="inlineStr">
        <is>
          <t>Entretien Courant</t>
        </is>
      </c>
      <c r="B34" s="31">
        <f>Paramètres!$C$8/Paramètres!$C$3</f>
        <v/>
      </c>
      <c r="C34" s="32">
        <f>'Récapitulatif 2025'!E81</f>
        <v/>
      </c>
      <c r="D34" s="32">
        <f>B34*C34</f>
        <v/>
      </c>
      <c r="E34" s="33">
        <f>Paramètres!$J$8/365</f>
        <v/>
      </c>
      <c r="F34" s="32">
        <f>D34*E34</f>
        <v/>
      </c>
    </row>
    <row r="35" ht="18" customHeight="1">
      <c r="A35" s="7" t="inlineStr">
        <is>
          <t>Sous-total — TRAVAUX</t>
        </is>
      </c>
      <c r="C35" s="8">
        <f>SUM(C34:C34)</f>
        <v/>
      </c>
      <c r="D35" s="8">
        <f>SUM(D34:D34)</f>
        <v/>
      </c>
      <c r="E35" s="34" t="n"/>
      <c r="F35" s="8">
        <f>SUM(F34:F34)</f>
        <v/>
      </c>
    </row>
    <row r="36" ht="7.55" customHeight="1"/>
    <row r="37" ht="21.75" customHeight="1">
      <c r="A37" s="13" t="inlineStr">
        <is>
          <t>TOTAL CHARGES RÉCUPÉRABLES RÉELLES (€ HT)</t>
        </is>
      </c>
      <c r="C37" s="14">
        <f>C20+C26+C29+C32+C35</f>
        <v/>
      </c>
      <c r="D37" s="14">
        <f>D20+D26+D29+D32+D35</f>
        <v/>
      </c>
      <c r="E37" s="35" t="n"/>
      <c r="F37" s="14">
        <f>F20+F26+F29+F32+F35</f>
        <v/>
      </c>
    </row>
    <row r="38" ht="7.55" customHeight="1"/>
    <row r="39" ht="19.55" customHeight="1">
      <c r="A39" s="5" t="inlineStr">
        <is>
          <t>Provisions pour charges versées</t>
        </is>
      </c>
      <c r="C39" s="36" t="n"/>
      <c r="D39" s="26" t="inlineStr">
        <is>
          <t>Montant annuel (€)</t>
        </is>
      </c>
      <c r="E39" s="36" t="n"/>
      <c r="F39" s="26" t="inlineStr">
        <is>
          <t>Montant locataire (€)</t>
        </is>
      </c>
    </row>
    <row r="40" ht="15.8" customHeight="1">
      <c r="A40" s="19" t="inlineStr">
        <is>
          <t xml:space="preserve">  1er trimestre (T1)</t>
        </is>
      </c>
    </row>
    <row r="41" ht="15.8" customHeight="1">
      <c r="A41" s="19" t="inlineStr">
        <is>
          <t xml:space="preserve">  2e trimestre (T2)</t>
        </is>
      </c>
    </row>
    <row r="42" ht="15.8" customHeight="1">
      <c r="A42" s="19" t="inlineStr">
        <is>
          <t xml:space="preserve">  3e trimestre (T3)</t>
        </is>
      </c>
    </row>
    <row r="43" ht="15.8" customHeight="1">
      <c r="A43" s="19" t="inlineStr">
        <is>
          <t xml:space="preserve">  4e trimestre (T4)</t>
        </is>
      </c>
    </row>
    <row r="44" ht="18" customHeight="1">
      <c r="A44" s="7" t="inlineStr">
        <is>
          <t>Total provisions pour charges versées →</t>
        </is>
      </c>
      <c r="D44" s="8">
        <f>SUM(D40:D43)</f>
        <v/>
      </c>
      <c r="E44" s="34" t="n"/>
      <c r="F44" s="8">
        <f>SUM(F40:F43)</f>
        <v/>
      </c>
    </row>
    <row r="45" ht="7.55" customHeight="1"/>
    <row r="46" ht="21.75" customHeight="1">
      <c r="A46" s="37">
        <f>IF(F37-F44&gt;0,"SOLDE DÉBITEUR","SOLDE CRÉDITEUR")</f>
        <v/>
      </c>
      <c r="D46" s="38">
        <f>D37-D44</f>
        <v/>
      </c>
      <c r="E46" s="36" t="n"/>
      <c r="F46" s="38">
        <f>F37-F44</f>
        <v/>
      </c>
    </row>
    <row r="48" ht="27.75" customHeight="1">
      <c r="A48" s="39" t="inlineStr">
        <is>
          <t>ℹ  Clé répartition = surface lot ÷ surface totale site. Période = nombre de jours d'occupation ÷ 365.</t>
        </is>
      </c>
    </row>
  </sheetData>
  <mergeCells count="18">
    <mergeCell ref="A2:F2"/>
    <mergeCell ref="A20:B20"/>
    <mergeCell ref="A26:B26"/>
    <mergeCell ref="A30:F30"/>
    <mergeCell ref="A33:F33"/>
    <mergeCell ref="A29:B29"/>
    <mergeCell ref="A44:C44"/>
    <mergeCell ref="A46:C46"/>
    <mergeCell ref="A1:F1"/>
    <mergeCell ref="A5:F5"/>
    <mergeCell ref="A27:F27"/>
    <mergeCell ref="A37:B37"/>
    <mergeCell ref="A32:B32"/>
    <mergeCell ref="A48:F48"/>
    <mergeCell ref="A3:F3"/>
    <mergeCell ref="A21:F21"/>
    <mergeCell ref="A39:B39"/>
    <mergeCell ref="A35:B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CONTRAT MAINTENANCE</t>
        </is>
      </c>
    </row>
    <row r="6" ht="15.05" customHeight="1">
      <c r="A6" s="30" t="inlineStr">
        <is>
          <t>Portails + Barrières automatiques</t>
        </is>
      </c>
      <c r="B6" s="31">
        <f>Paramètres!$C$9/Paramètres!$C$3</f>
        <v/>
      </c>
      <c r="C6" s="32">
        <f>'Récapitulatif 2025'!E7</f>
        <v/>
      </c>
      <c r="D6" s="32">
        <f>B6*C6</f>
        <v/>
      </c>
      <c r="E6" s="33">
        <f>Paramètres!$J$9/365</f>
        <v/>
      </c>
      <c r="F6" s="32">
        <f>D6*E6</f>
        <v/>
      </c>
    </row>
    <row r="7" ht="15.05" customHeight="1">
      <c r="A7" s="30" t="inlineStr">
        <is>
          <t>Séparateur hydro.</t>
        </is>
      </c>
      <c r="B7" s="31">
        <f>Paramètres!$C$9/Paramètres!$C$3</f>
        <v/>
      </c>
      <c r="C7" s="32">
        <f>'Récapitulatif 2025'!E34</f>
        <v/>
      </c>
      <c r="D7" s="32">
        <f>B7*C7</f>
        <v/>
      </c>
      <c r="E7" s="33">
        <f>Paramètres!$J$9/365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Paramètres!$C$9/Paramètres!$C$3</f>
        <v/>
      </c>
      <c r="C8" s="32">
        <f>'Récapitulatif 2025'!E10</f>
        <v/>
      </c>
      <c r="D8" s="32">
        <f>B8*C8</f>
        <v/>
      </c>
      <c r="E8" s="33">
        <f>Paramètres!$J$9/365</f>
        <v/>
      </c>
      <c r="F8" s="32">
        <f>D8*E8</f>
        <v/>
      </c>
    </row>
    <row r="9" ht="15.05" customHeight="1">
      <c r="A9" s="30" t="inlineStr">
        <is>
          <t>Ascenseur</t>
        </is>
      </c>
      <c r="B9" s="31">
        <f>Paramètres!$C$9/Paramètres!$C$3</f>
        <v/>
      </c>
      <c r="C9" s="32">
        <f>'Récapitulatif 2025'!E13</f>
        <v/>
      </c>
      <c r="D9" s="32">
        <f>B9*C9</f>
        <v/>
      </c>
      <c r="E9" s="33">
        <f>Paramètres!$J$9/365</f>
        <v/>
      </c>
      <c r="F9" s="32">
        <f>D9*E9</f>
        <v/>
      </c>
    </row>
    <row r="10" ht="15.05" customHeight="1">
      <c r="A10" s="30" t="inlineStr">
        <is>
          <t>Chaufferie</t>
        </is>
      </c>
      <c r="B10" s="31">
        <f>Paramètres!$C$9/Paramètres!$C$3</f>
        <v/>
      </c>
      <c r="C10" s="32">
        <f>'Récapitulatif 2025'!E16</f>
        <v/>
      </c>
      <c r="D10" s="32">
        <f>B10*C10</f>
        <v/>
      </c>
      <c r="E10" s="33">
        <f>Paramètres!$J$9/365</f>
        <v/>
      </c>
      <c r="F10" s="32">
        <f>D10*E10</f>
        <v/>
      </c>
    </row>
    <row r="11" ht="15.05" customHeight="1">
      <c r="A11" s="30" t="inlineStr">
        <is>
          <t>Désenfumage</t>
        </is>
      </c>
      <c r="B11" s="31">
        <f>Paramètres!$C$9/Paramètres!$C$3</f>
        <v/>
      </c>
      <c r="C11" s="32">
        <f>'Récapitulatif 2025'!E19</f>
        <v/>
      </c>
      <c r="D11" s="32">
        <f>B11*C11</f>
        <v/>
      </c>
      <c r="E11" s="33">
        <f>Paramètres!$J$9/365</f>
        <v/>
      </c>
      <c r="F11" s="32">
        <f>D11*E11</f>
        <v/>
      </c>
    </row>
    <row r="12" ht="15.05" customHeight="1">
      <c r="A12" s="30" t="inlineStr">
        <is>
          <t>Espaces verts</t>
        </is>
      </c>
      <c r="B12" s="31">
        <f>Paramètres!$C$9/Paramètres!$C$3</f>
        <v/>
      </c>
      <c r="C12" s="32">
        <f>'Récapitulatif 2025'!E22</f>
        <v/>
      </c>
      <c r="D12" s="32">
        <f>B12*C12</f>
        <v/>
      </c>
      <c r="E12" s="33">
        <f>Paramètres!$J$9/365</f>
        <v/>
      </c>
      <c r="F12" s="32">
        <f>D12*E12</f>
        <v/>
      </c>
    </row>
    <row r="13" ht="15.05" customHeight="1">
      <c r="A13" s="30" t="inlineStr">
        <is>
          <t>Portes Coupe-Feu</t>
        </is>
      </c>
      <c r="B13" s="31">
        <f>Paramètres!$C$9/Paramètres!$C$3</f>
        <v/>
      </c>
      <c r="C13" s="32">
        <f>'Récapitulatif 2025'!E25</f>
        <v/>
      </c>
      <c r="D13" s="32">
        <f>B13*C13</f>
        <v/>
      </c>
      <c r="E13" s="33">
        <f>Paramètres!$J$9/365</f>
        <v/>
      </c>
      <c r="F13" s="32">
        <f>D13*E13</f>
        <v/>
      </c>
    </row>
    <row r="14" ht="15.05" customHeight="1">
      <c r="A14" s="30" t="inlineStr">
        <is>
          <t>Protection foudre</t>
        </is>
      </c>
      <c r="B14" s="31">
        <f>Paramètres!$C$9/Paramètres!$C$3</f>
        <v/>
      </c>
      <c r="C14" s="32">
        <f>'Récapitulatif 2025'!E28</f>
        <v/>
      </c>
      <c r="D14" s="32">
        <f>B14*C14</f>
        <v/>
      </c>
      <c r="E14" s="33">
        <f>Paramètres!$J$9/365</f>
        <v/>
      </c>
      <c r="F14" s="32">
        <f>D14*E14</f>
        <v/>
      </c>
    </row>
    <row r="15" ht="15.05" customHeight="1">
      <c r="A15" s="30" t="inlineStr">
        <is>
          <t>Quais &amp; Portes sectionnelles</t>
        </is>
      </c>
      <c r="B15" s="31">
        <f>Paramètres!$C$9/Paramètres!$C$3</f>
        <v/>
      </c>
      <c r="C15" s="32">
        <f>'Récapitulatif 2025'!E31</f>
        <v/>
      </c>
      <c r="D15" s="32">
        <f>B15*C15</f>
        <v/>
      </c>
      <c r="E15" s="33">
        <f>Paramètres!$J$9/365</f>
        <v/>
      </c>
      <c r="F15" s="32">
        <f>D15*E15</f>
        <v/>
      </c>
    </row>
    <row r="16" ht="15.05" customHeight="1">
      <c r="A16" s="30" t="inlineStr">
        <is>
          <t>Sprinklers - RIA - PI - Fioul</t>
        </is>
      </c>
      <c r="B16" s="31">
        <f>Paramètres!$C$9/Paramètres!$C$3</f>
        <v/>
      </c>
      <c r="C16" s="32">
        <f>'Récapitulatif 2025'!E37</f>
        <v/>
      </c>
      <c r="D16" s="32">
        <f>B16*C16</f>
        <v/>
      </c>
      <c r="E16" s="33">
        <f>Paramètres!$J$9/365</f>
        <v/>
      </c>
      <c r="F16" s="32">
        <f>D16*E16</f>
        <v/>
      </c>
    </row>
    <row r="17" ht="15.05" customHeight="1">
      <c r="A17" s="30" t="inlineStr">
        <is>
          <t>SSI</t>
        </is>
      </c>
      <c r="B17" s="31">
        <f>Paramètres!$C$9/Paramètres!$C$3</f>
        <v/>
      </c>
      <c r="C17" s="32">
        <f>'Récapitulatif 2025'!E40</f>
        <v/>
      </c>
      <c r="D17" s="32">
        <f>B17*C17</f>
        <v/>
      </c>
      <c r="E17" s="33">
        <f>Paramètres!$J$9/365</f>
        <v/>
      </c>
      <c r="F17" s="32">
        <f>D17*E17</f>
        <v/>
      </c>
    </row>
    <row r="18" ht="15.05" customHeight="1">
      <c r="A18" s="30" t="inlineStr">
        <is>
          <t>Télésurveillance</t>
        </is>
      </c>
      <c r="B18" s="31">
        <f>Paramètres!$C$9/Paramètres!$C$3</f>
        <v/>
      </c>
      <c r="C18" s="32">
        <f>'Récapitulatif 2025'!E43</f>
        <v/>
      </c>
      <c r="D18" s="32">
        <f>B18*C18</f>
        <v/>
      </c>
      <c r="E18" s="33">
        <f>Paramètres!$J$9/365</f>
        <v/>
      </c>
      <c r="F18" s="32">
        <f>D18*E18</f>
        <v/>
      </c>
    </row>
    <row r="19" ht="15.05" customHeight="1">
      <c r="A19" s="30" t="inlineStr">
        <is>
          <t>Toiture</t>
        </is>
      </c>
      <c r="B19" s="31">
        <f>Paramètres!$C$9/Paramètres!$C$3</f>
        <v/>
      </c>
      <c r="C19" s="32">
        <f>'Récapitulatif 2025'!E46</f>
        <v/>
      </c>
      <c r="D19" s="32">
        <f>B19*C19</f>
        <v/>
      </c>
      <c r="E19" s="33">
        <f>Paramètres!$J$9/365</f>
        <v/>
      </c>
      <c r="F19" s="32">
        <f>D19*E19</f>
        <v/>
      </c>
    </row>
    <row r="20" ht="18" customHeight="1">
      <c r="A20" s="7" t="inlineStr">
        <is>
          <t>Sous-total — CONTRAT MAINTENANCE</t>
        </is>
      </c>
      <c r="C20" s="8">
        <f>SUM(C6:C19)</f>
        <v/>
      </c>
      <c r="D20" s="8">
        <f>SUM(D6:D19)</f>
        <v/>
      </c>
      <c r="E20" s="34" t="n"/>
      <c r="F20" s="8">
        <f>SUM(F6:F19)</f>
        <v/>
      </c>
    </row>
    <row r="21" ht="18" customHeight="1">
      <c r="A21" s="5" t="inlineStr">
        <is>
          <t>FLUIDES</t>
        </is>
      </c>
    </row>
    <row r="22" ht="15.05" customHeight="1">
      <c r="A22" s="30" t="inlineStr">
        <is>
          <t>Electricité</t>
        </is>
      </c>
      <c r="B22" s="31">
        <f>Paramètres!$C$9/Paramètres!$C$3</f>
        <v/>
      </c>
      <c r="C22" s="32">
        <f>'Récapitulatif 2025'!E60</f>
        <v/>
      </c>
      <c r="D22" s="32">
        <f>B22*C22</f>
        <v/>
      </c>
      <c r="E22" s="33">
        <f>Paramètres!$H$9/365</f>
        <v/>
      </c>
      <c r="F22" s="32">
        <f>D22*E22</f>
        <v/>
      </c>
    </row>
    <row r="23" ht="15.05" customHeight="1">
      <c r="A23" s="30" t="inlineStr">
        <is>
          <t>Eau</t>
        </is>
      </c>
      <c r="B23" s="31">
        <f>Paramètres!$C$9/Paramètres!$C$3</f>
        <v/>
      </c>
      <c r="C23" s="32">
        <f>'Récapitulatif 2025'!E63</f>
        <v/>
      </c>
      <c r="D23" s="32">
        <f>B23*C23</f>
        <v/>
      </c>
      <c r="E23" s="33">
        <f>Paramètres!$H$9/365</f>
        <v/>
      </c>
      <c r="F23" s="32">
        <f>D23*E23</f>
        <v/>
      </c>
    </row>
    <row r="24" ht="15.05" customHeight="1">
      <c r="A24" s="30" t="inlineStr">
        <is>
          <t>Eau - Incendie</t>
        </is>
      </c>
      <c r="B24" s="31">
        <f>Paramètres!$C$9/Paramètres!$C$3</f>
        <v/>
      </c>
      <c r="C24" s="32">
        <f>'Récapitulatif 2025'!E66</f>
        <v/>
      </c>
      <c r="D24" s="32">
        <f>B24*C24</f>
        <v/>
      </c>
      <c r="E24" s="33">
        <f>Paramètres!$H$9/365</f>
        <v/>
      </c>
      <c r="F24" s="32">
        <f>D24*E24</f>
        <v/>
      </c>
    </row>
    <row r="25" ht="15.05" customHeight="1">
      <c r="A25" s="30" t="inlineStr">
        <is>
          <t>Gaz</t>
        </is>
      </c>
      <c r="B25" s="31">
        <f>Paramètres!$C$9/Paramètres!$C$3</f>
        <v/>
      </c>
      <c r="C25" s="32">
        <f>'Récapitulatif 2025'!E69</f>
        <v/>
      </c>
      <c r="D25" s="32">
        <f>B25*C25</f>
        <v/>
      </c>
      <c r="E25" s="33">
        <f>Paramètres!$H$9/365</f>
        <v/>
      </c>
      <c r="F25" s="32">
        <f>D25*E25</f>
        <v/>
      </c>
    </row>
    <row r="26" ht="18" customHeight="1">
      <c r="A26" s="7" t="inlineStr">
        <is>
          <t>Sous-total — FLUIDES</t>
        </is>
      </c>
      <c r="C26" s="8">
        <f>SUM(C22:C25)</f>
        <v/>
      </c>
      <c r="D26" s="8">
        <f>SUM(D22:D25)</f>
        <v/>
      </c>
      <c r="E26" s="34" t="n"/>
      <c r="F26" s="8">
        <f>SUM(F22:F25)</f>
        <v/>
      </c>
    </row>
    <row r="27" ht="18" customHeight="1">
      <c r="A27" s="5" t="inlineStr">
        <is>
          <t>TAXES</t>
        </is>
      </c>
    </row>
    <row r="28" ht="15.05" customHeight="1">
      <c r="A28" s="30" t="inlineStr">
        <is>
          <t>Taxe Bureau &amp; Stationnement</t>
        </is>
      </c>
      <c r="B28" s="31">
        <f>Paramètres!$C$9/Paramètres!$C$3</f>
        <v/>
      </c>
      <c r="C28" s="32">
        <f>'Récapitulatif 2025'!E73</f>
        <v/>
      </c>
      <c r="D28" s="32">
        <f>B28*C28</f>
        <v/>
      </c>
      <c r="E28" s="33">
        <f>Paramètres!$J$9/365</f>
        <v/>
      </c>
      <c r="F28" s="32">
        <f>D28*E28</f>
        <v/>
      </c>
    </row>
    <row r="29" ht="18" customHeight="1">
      <c r="A29" s="7" t="inlineStr">
        <is>
          <t>Sous-total — TAXES</t>
        </is>
      </c>
      <c r="C29" s="8">
        <f>SUM(C28:C28)</f>
        <v/>
      </c>
      <c r="D29" s="8">
        <f>SUM(D28:D28)</f>
        <v/>
      </c>
      <c r="E29" s="34" t="n"/>
      <c r="F29" s="8">
        <f>SUM(F28:F28)</f>
        <v/>
      </c>
    </row>
    <row r="30" ht="18" customHeight="1">
      <c r="A30" s="5" t="inlineStr">
        <is>
          <t>HONORAIRES</t>
        </is>
      </c>
    </row>
    <row r="31" ht="15.05" customHeight="1">
      <c r="A31" s="30" t="inlineStr">
        <is>
          <t>Honoraires Divers</t>
        </is>
      </c>
      <c r="B31" s="31">
        <f>Paramètres!$C$9/Paramètres!$C$3</f>
        <v/>
      </c>
      <c r="C31" s="32">
        <f>'Récapitulatif 2025'!E77</f>
        <v/>
      </c>
      <c r="D31" s="32">
        <f>B31*C31</f>
        <v/>
      </c>
      <c r="E31" s="33">
        <f>Paramètres!$J$9/365</f>
        <v/>
      </c>
      <c r="F31" s="32">
        <f>D31*E31</f>
        <v/>
      </c>
    </row>
    <row r="32" ht="18" customHeight="1">
      <c r="A32" s="7" t="inlineStr">
        <is>
          <t>Sous-total — HONORAIRES</t>
        </is>
      </c>
      <c r="C32" s="8">
        <f>SUM(C31:C31)</f>
        <v/>
      </c>
      <c r="D32" s="8">
        <f>SUM(D31:D31)</f>
        <v/>
      </c>
      <c r="E32" s="34" t="n"/>
      <c r="F32" s="8">
        <f>SUM(F31:F31)</f>
        <v/>
      </c>
    </row>
    <row r="33" ht="18" customHeight="1">
      <c r="A33" s="5" t="inlineStr">
        <is>
          <t>TRAVAUX</t>
        </is>
      </c>
    </row>
    <row r="34" ht="15.05" customHeight="1">
      <c r="A34" s="30" t="inlineStr">
        <is>
          <t>Entretien Courant</t>
        </is>
      </c>
      <c r="B34" s="31">
        <f>Paramètres!$C$9/Paramètres!$C$3</f>
        <v/>
      </c>
      <c r="C34" s="32">
        <f>'Récapitulatif 2025'!E81</f>
        <v/>
      </c>
      <c r="D34" s="32">
        <f>B34*C34</f>
        <v/>
      </c>
      <c r="E34" s="33">
        <f>Paramètres!$J$9/365</f>
        <v/>
      </c>
      <c r="F34" s="32">
        <f>D34*E34</f>
        <v/>
      </c>
    </row>
    <row r="35" ht="18" customHeight="1">
      <c r="A35" s="7" t="inlineStr">
        <is>
          <t>Sous-total — TRAVAUX</t>
        </is>
      </c>
      <c r="C35" s="8">
        <f>SUM(C34:C34)</f>
        <v/>
      </c>
      <c r="D35" s="8">
        <f>SUM(D34:D34)</f>
        <v/>
      </c>
      <c r="E35" s="34" t="n"/>
      <c r="F35" s="8">
        <f>SUM(F34:F34)</f>
        <v/>
      </c>
    </row>
    <row r="36" ht="7.55" customHeight="1"/>
    <row r="37" ht="21.75" customHeight="1">
      <c r="A37" s="13" t="inlineStr">
        <is>
          <t>TOTAL CHARGES RÉCUPÉRABLES RÉELLES (€ HT)</t>
        </is>
      </c>
      <c r="C37" s="14">
        <f>C20+C26+C29+C32+C35</f>
        <v/>
      </c>
      <c r="D37" s="14">
        <f>D20+D26+D29+D32+D35</f>
        <v/>
      </c>
      <c r="E37" s="35" t="n"/>
      <c r="F37" s="14">
        <f>F20+F26+F29+F32+F35</f>
        <v/>
      </c>
    </row>
    <row r="38" ht="7.55" customHeight="1"/>
    <row r="39" ht="19.55" customHeight="1">
      <c r="A39" s="5" t="inlineStr">
        <is>
          <t>Provisions pour charges versées</t>
        </is>
      </c>
      <c r="C39" s="36" t="n"/>
      <c r="D39" s="26" t="inlineStr">
        <is>
          <t>Montant annuel (€)</t>
        </is>
      </c>
      <c r="E39" s="36" t="n"/>
      <c r="F39" s="26" t="inlineStr">
        <is>
          <t>Montant locataire (€)</t>
        </is>
      </c>
    </row>
    <row r="40" ht="15.8" customHeight="1">
      <c r="A40" s="19" t="inlineStr">
        <is>
          <t xml:space="preserve">  1er trimestre (T1)</t>
        </is>
      </c>
    </row>
    <row r="41" ht="15.8" customHeight="1">
      <c r="A41" s="19" t="inlineStr">
        <is>
          <t xml:space="preserve">  2e trimestre (T2)</t>
        </is>
      </c>
    </row>
    <row r="42" ht="15.8" customHeight="1">
      <c r="A42" s="19" t="inlineStr">
        <is>
          <t xml:space="preserve">  3e trimestre (T3)</t>
        </is>
      </c>
    </row>
    <row r="43" ht="15.8" customHeight="1">
      <c r="A43" s="19" t="inlineStr">
        <is>
          <t xml:space="preserve">  4e trimestre (T4)</t>
        </is>
      </c>
    </row>
    <row r="44" ht="18" customHeight="1">
      <c r="A44" s="7" t="inlineStr">
        <is>
          <t>Total provisions pour charges versées →</t>
        </is>
      </c>
      <c r="D44" s="8">
        <f>SUM(D40:D43)</f>
        <v/>
      </c>
      <c r="E44" s="34" t="n"/>
      <c r="F44" s="8">
        <f>SUM(F40:F43)</f>
        <v/>
      </c>
    </row>
    <row r="45" ht="7.55" customHeight="1"/>
    <row r="46" ht="21.75" customHeight="1">
      <c r="A46" s="37">
        <f>IF(F37-F44&gt;0,"SOLDE DÉBITEUR","SOLDE CRÉDITEUR")</f>
        <v/>
      </c>
      <c r="D46" s="38">
        <f>D37-D44</f>
        <v/>
      </c>
      <c r="E46" s="36" t="n"/>
      <c r="F46" s="38">
        <f>F37-F44</f>
        <v/>
      </c>
    </row>
    <row r="48" ht="27.75" customHeight="1">
      <c r="A48" s="39" t="inlineStr">
        <is>
          <t>ℹ  Clé répartition = surface lot ÷ surface totale site. Période = nombre de jours d'occupation ÷ 365.</t>
        </is>
      </c>
    </row>
  </sheetData>
  <mergeCells count="18">
    <mergeCell ref="A2:F2"/>
    <mergeCell ref="A20:B20"/>
    <mergeCell ref="A26:B26"/>
    <mergeCell ref="A30:F30"/>
    <mergeCell ref="A33:F33"/>
    <mergeCell ref="A29:B29"/>
    <mergeCell ref="A44:C44"/>
    <mergeCell ref="A46:C46"/>
    <mergeCell ref="A1:F1"/>
    <mergeCell ref="A5:F5"/>
    <mergeCell ref="A27:F27"/>
    <mergeCell ref="A37:B37"/>
    <mergeCell ref="A32:B32"/>
    <mergeCell ref="A48:F48"/>
    <mergeCell ref="A3:F3"/>
    <mergeCell ref="A21:F21"/>
    <mergeCell ref="A39:B39"/>
    <mergeCell ref="A35:B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CONTRAT MAINTENANCE</t>
        </is>
      </c>
    </row>
    <row r="6" ht="15.05" customHeight="1">
      <c r="A6" s="30" t="inlineStr">
        <is>
          <t>Portails + Barrières automatiques</t>
        </is>
      </c>
      <c r="B6" s="31">
        <f>Paramètres!$C$10/Paramètres!$C$3</f>
        <v/>
      </c>
      <c r="C6" s="32">
        <f>'Récapitulatif 2025'!E7</f>
        <v/>
      </c>
      <c r="D6" s="32">
        <f>B6*C6</f>
        <v/>
      </c>
      <c r="E6" s="33">
        <f>Paramètres!$J$10/365</f>
        <v/>
      </c>
      <c r="F6" s="32">
        <f>D6*E6</f>
        <v/>
      </c>
    </row>
    <row r="7" ht="15.05" customHeight="1">
      <c r="A7" s="30" t="inlineStr">
        <is>
          <t>Séparateur hydro.</t>
        </is>
      </c>
      <c r="B7" s="31">
        <f>Paramètres!$C$10/Paramètres!$C$3</f>
        <v/>
      </c>
      <c r="C7" s="32">
        <f>'Récapitulatif 2025'!E34</f>
        <v/>
      </c>
      <c r="D7" s="32">
        <f>B7*C7</f>
        <v/>
      </c>
      <c r="E7" s="33">
        <f>Paramètres!$J$10/365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Paramètres!$C$10/Paramètres!$C$3</f>
        <v/>
      </c>
      <c r="C8" s="32">
        <f>'Récapitulatif 2025'!E10</f>
        <v/>
      </c>
      <c r="D8" s="32">
        <f>B8*C8</f>
        <v/>
      </c>
      <c r="E8" s="33">
        <f>Paramètres!$J$10/365</f>
        <v/>
      </c>
      <c r="F8" s="32">
        <f>D8*E8</f>
        <v/>
      </c>
    </row>
    <row r="9" ht="15.05" customHeight="1">
      <c r="A9" s="30" t="inlineStr">
        <is>
          <t>Ascenseur</t>
        </is>
      </c>
      <c r="B9" s="31">
        <f>Paramètres!$C$10/Paramètres!$C$3</f>
        <v/>
      </c>
      <c r="C9" s="32">
        <f>'Récapitulatif 2025'!E13</f>
        <v/>
      </c>
      <c r="D9" s="32">
        <f>B9*C9</f>
        <v/>
      </c>
      <c r="E9" s="33">
        <f>Paramètres!$J$10/365</f>
        <v/>
      </c>
      <c r="F9" s="32">
        <f>D9*E9</f>
        <v/>
      </c>
    </row>
    <row r="10" ht="15.05" customHeight="1">
      <c r="A10" s="30" t="inlineStr">
        <is>
          <t>Chaufferie</t>
        </is>
      </c>
      <c r="B10" s="31">
        <f>Paramètres!$C$10/Paramètres!$C$3</f>
        <v/>
      </c>
      <c r="C10" s="32">
        <f>'Récapitulatif 2025'!E16</f>
        <v/>
      </c>
      <c r="D10" s="32">
        <f>B10*C10</f>
        <v/>
      </c>
      <c r="E10" s="33">
        <f>Paramètres!$J$10/365</f>
        <v/>
      </c>
      <c r="F10" s="32">
        <f>D10*E10</f>
        <v/>
      </c>
    </row>
    <row r="11" ht="15.05" customHeight="1">
      <c r="A11" s="30" t="inlineStr">
        <is>
          <t>Désenfumage</t>
        </is>
      </c>
      <c r="B11" s="31">
        <f>Paramètres!$C$10/Paramètres!$C$3</f>
        <v/>
      </c>
      <c r="C11" s="32">
        <f>'Récapitulatif 2025'!E19</f>
        <v/>
      </c>
      <c r="D11" s="32">
        <f>B11*C11</f>
        <v/>
      </c>
      <c r="E11" s="33">
        <f>Paramètres!$J$10/365</f>
        <v/>
      </c>
      <c r="F11" s="32">
        <f>D11*E11</f>
        <v/>
      </c>
    </row>
    <row r="12" ht="15.05" customHeight="1">
      <c r="A12" s="30" t="inlineStr">
        <is>
          <t>Espaces verts</t>
        </is>
      </c>
      <c r="B12" s="31">
        <f>Paramètres!$C$10/Paramètres!$C$3</f>
        <v/>
      </c>
      <c r="C12" s="32">
        <f>'Récapitulatif 2025'!E22</f>
        <v/>
      </c>
      <c r="D12" s="32">
        <f>B12*C12</f>
        <v/>
      </c>
      <c r="E12" s="33">
        <f>Paramètres!$J$10/365</f>
        <v/>
      </c>
      <c r="F12" s="32">
        <f>D12*E12</f>
        <v/>
      </c>
    </row>
    <row r="13" ht="15.05" customHeight="1">
      <c r="A13" s="30" t="inlineStr">
        <is>
          <t>Portes Coupe-Feu</t>
        </is>
      </c>
      <c r="B13" s="31">
        <f>Paramètres!$C$10/Paramètres!$C$3</f>
        <v/>
      </c>
      <c r="C13" s="32">
        <f>'Récapitulatif 2025'!E25</f>
        <v/>
      </c>
      <c r="D13" s="32">
        <f>B13*C13</f>
        <v/>
      </c>
      <c r="E13" s="33">
        <f>Paramètres!$J$10/365</f>
        <v/>
      </c>
      <c r="F13" s="32">
        <f>D13*E13</f>
        <v/>
      </c>
    </row>
    <row r="14" ht="15.05" customHeight="1">
      <c r="A14" s="30" t="inlineStr">
        <is>
          <t>Protection foudre</t>
        </is>
      </c>
      <c r="B14" s="31">
        <f>Paramètres!$C$10/Paramètres!$C$3</f>
        <v/>
      </c>
      <c r="C14" s="32">
        <f>'Récapitulatif 2025'!E28</f>
        <v/>
      </c>
      <c r="D14" s="32">
        <f>B14*C14</f>
        <v/>
      </c>
      <c r="E14" s="33">
        <f>Paramètres!$J$10/365</f>
        <v/>
      </c>
      <c r="F14" s="32">
        <f>D14*E14</f>
        <v/>
      </c>
    </row>
    <row r="15" ht="15.05" customHeight="1">
      <c r="A15" s="30" t="inlineStr">
        <is>
          <t>Quais &amp; Portes sectionnelles</t>
        </is>
      </c>
      <c r="B15" s="31">
        <f>Paramètres!$C$10/Paramètres!$C$3</f>
        <v/>
      </c>
      <c r="C15" s="32">
        <f>'Récapitulatif 2025'!E31</f>
        <v/>
      </c>
      <c r="D15" s="32">
        <f>B15*C15</f>
        <v/>
      </c>
      <c r="E15" s="33">
        <f>Paramètres!$J$10/365</f>
        <v/>
      </c>
      <c r="F15" s="32">
        <f>D15*E15</f>
        <v/>
      </c>
    </row>
    <row r="16" ht="15.05" customHeight="1">
      <c r="A16" s="30" t="inlineStr">
        <is>
          <t>Sprinklers - RIA - PI - Fioul</t>
        </is>
      </c>
      <c r="B16" s="31">
        <f>Paramètres!$C$10/Paramètres!$C$3</f>
        <v/>
      </c>
      <c r="C16" s="32">
        <f>'Récapitulatif 2025'!E37</f>
        <v/>
      </c>
      <c r="D16" s="32">
        <f>B16*C16</f>
        <v/>
      </c>
      <c r="E16" s="33">
        <f>Paramètres!$J$10/365</f>
        <v/>
      </c>
      <c r="F16" s="32">
        <f>D16*E16</f>
        <v/>
      </c>
    </row>
    <row r="17" ht="15.05" customHeight="1">
      <c r="A17" s="30" t="inlineStr">
        <is>
          <t>SSI</t>
        </is>
      </c>
      <c r="B17" s="31">
        <f>Paramètres!$C$10/Paramètres!$C$3</f>
        <v/>
      </c>
      <c r="C17" s="32">
        <f>'Récapitulatif 2025'!E40</f>
        <v/>
      </c>
      <c r="D17" s="32">
        <f>B17*C17</f>
        <v/>
      </c>
      <c r="E17" s="33">
        <f>Paramètres!$J$10/365</f>
        <v/>
      </c>
      <c r="F17" s="32">
        <f>D17*E17</f>
        <v/>
      </c>
    </row>
    <row r="18" ht="15.05" customHeight="1">
      <c r="A18" s="30" t="inlineStr">
        <is>
          <t>Télésurveillance</t>
        </is>
      </c>
      <c r="B18" s="31">
        <f>Paramètres!$C$10/Paramètres!$C$3</f>
        <v/>
      </c>
      <c r="C18" s="32">
        <f>'Récapitulatif 2025'!E43</f>
        <v/>
      </c>
      <c r="D18" s="32">
        <f>B18*C18</f>
        <v/>
      </c>
      <c r="E18" s="33">
        <f>Paramètres!$J$10/365</f>
        <v/>
      </c>
      <c r="F18" s="32">
        <f>D18*E18</f>
        <v/>
      </c>
    </row>
    <row r="19" ht="15.05" customHeight="1">
      <c r="A19" s="30" t="inlineStr">
        <is>
          <t>Toiture</t>
        </is>
      </c>
      <c r="B19" s="31">
        <f>Paramètres!$C$10/Paramètres!$C$3</f>
        <v/>
      </c>
      <c r="C19" s="32">
        <f>'Récapitulatif 2025'!E46</f>
        <v/>
      </c>
      <c r="D19" s="32">
        <f>B19*C19</f>
        <v/>
      </c>
      <c r="E19" s="33">
        <f>Paramètres!$J$10/365</f>
        <v/>
      </c>
      <c r="F19" s="32">
        <f>D19*E19</f>
        <v/>
      </c>
    </row>
    <row r="20" ht="18" customHeight="1">
      <c r="A20" s="7" t="inlineStr">
        <is>
          <t>Sous-total — CONTRAT MAINTENANCE</t>
        </is>
      </c>
      <c r="C20" s="8">
        <f>SUM(C6:C19)</f>
        <v/>
      </c>
      <c r="D20" s="8">
        <f>SUM(D6:D19)</f>
        <v/>
      </c>
      <c r="E20" s="34" t="n"/>
      <c r="F20" s="8">
        <f>SUM(F6:F19)</f>
        <v/>
      </c>
    </row>
    <row r="21" ht="18" customHeight="1">
      <c r="A21" s="5" t="inlineStr">
        <is>
          <t>FLUIDES</t>
        </is>
      </c>
    </row>
    <row r="22" ht="15.05" customHeight="1">
      <c r="A22" s="30" t="inlineStr">
        <is>
          <t>Electricité</t>
        </is>
      </c>
      <c r="B22" s="31">
        <f>Paramètres!$C$10/Paramètres!$C$3</f>
        <v/>
      </c>
      <c r="C22" s="32">
        <f>'Récapitulatif 2025'!E60</f>
        <v/>
      </c>
      <c r="D22" s="32">
        <f>B22*C22</f>
        <v/>
      </c>
      <c r="E22" s="33">
        <f>Paramètres!$H$10/365</f>
        <v/>
      </c>
      <c r="F22" s="32">
        <f>D22*E22</f>
        <v/>
      </c>
    </row>
    <row r="23" ht="15.05" customHeight="1">
      <c r="A23" s="30" t="inlineStr">
        <is>
          <t>Eau</t>
        </is>
      </c>
      <c r="B23" s="31">
        <f>Paramètres!$C$10/Paramètres!$C$3</f>
        <v/>
      </c>
      <c r="C23" s="32">
        <f>'Récapitulatif 2025'!E63</f>
        <v/>
      </c>
      <c r="D23" s="32">
        <f>B23*C23</f>
        <v/>
      </c>
      <c r="E23" s="33">
        <f>Paramètres!$H$10/365</f>
        <v/>
      </c>
      <c r="F23" s="32">
        <f>D23*E23</f>
        <v/>
      </c>
    </row>
    <row r="24" ht="15.05" customHeight="1">
      <c r="A24" s="30" t="inlineStr">
        <is>
          <t>Eau - Incendie</t>
        </is>
      </c>
      <c r="B24" s="31">
        <f>Paramètres!$C$10/Paramètres!$C$3</f>
        <v/>
      </c>
      <c r="C24" s="32">
        <f>'Récapitulatif 2025'!E66</f>
        <v/>
      </c>
      <c r="D24" s="32">
        <f>B24*C24</f>
        <v/>
      </c>
      <c r="E24" s="33">
        <f>Paramètres!$H$10/365</f>
        <v/>
      </c>
      <c r="F24" s="32">
        <f>D24*E24</f>
        <v/>
      </c>
    </row>
    <row r="25" ht="15.05" customHeight="1">
      <c r="A25" s="30" t="inlineStr">
        <is>
          <t>Gaz</t>
        </is>
      </c>
      <c r="B25" s="31">
        <f>Paramètres!$C$10/Paramètres!$C$3</f>
        <v/>
      </c>
      <c r="C25" s="32">
        <f>'Récapitulatif 2025'!E69</f>
        <v/>
      </c>
      <c r="D25" s="32">
        <f>B25*C25</f>
        <v/>
      </c>
      <c r="E25" s="33">
        <f>Paramètres!$H$10/365</f>
        <v/>
      </c>
      <c r="F25" s="32">
        <f>D25*E25</f>
        <v/>
      </c>
    </row>
    <row r="26" ht="18" customHeight="1">
      <c r="A26" s="7" t="inlineStr">
        <is>
          <t>Sous-total — FLUIDES</t>
        </is>
      </c>
      <c r="C26" s="8">
        <f>SUM(C22:C25)</f>
        <v/>
      </c>
      <c r="D26" s="8">
        <f>SUM(D22:D25)</f>
        <v/>
      </c>
      <c r="E26" s="34" t="n"/>
      <c r="F26" s="8">
        <f>SUM(F22:F25)</f>
        <v/>
      </c>
    </row>
    <row r="27" ht="18" customHeight="1">
      <c r="A27" s="5" t="inlineStr">
        <is>
          <t>TAXES</t>
        </is>
      </c>
    </row>
    <row r="28" ht="15.05" customHeight="1">
      <c r="A28" s="30" t="inlineStr">
        <is>
          <t>Taxe Bureau &amp; Stationnement</t>
        </is>
      </c>
      <c r="B28" s="31">
        <f>Paramètres!$C$10/Paramètres!$C$3</f>
        <v/>
      </c>
      <c r="C28" s="32">
        <f>'Récapitulatif 2025'!E73</f>
        <v/>
      </c>
      <c r="D28" s="32">
        <f>B28*C28</f>
        <v/>
      </c>
      <c r="E28" s="33">
        <f>Paramètres!$J$10/365</f>
        <v/>
      </c>
      <c r="F28" s="32">
        <f>D28*E28</f>
        <v/>
      </c>
    </row>
    <row r="29" ht="18" customHeight="1">
      <c r="A29" s="7" t="inlineStr">
        <is>
          <t>Sous-total — TAXES</t>
        </is>
      </c>
      <c r="C29" s="8">
        <f>SUM(C28:C28)</f>
        <v/>
      </c>
      <c r="D29" s="8">
        <f>SUM(D28:D28)</f>
        <v/>
      </c>
      <c r="E29" s="34" t="n"/>
      <c r="F29" s="8">
        <f>SUM(F28:F28)</f>
        <v/>
      </c>
    </row>
    <row r="30" ht="18" customHeight="1">
      <c r="A30" s="5" t="inlineStr">
        <is>
          <t>HONORAIRES</t>
        </is>
      </c>
    </row>
    <row r="31" ht="15.05" customHeight="1">
      <c r="A31" s="30" t="inlineStr">
        <is>
          <t>Honoraires Divers</t>
        </is>
      </c>
      <c r="B31" s="31">
        <f>Paramètres!$C$10/Paramètres!$C$3</f>
        <v/>
      </c>
      <c r="C31" s="32">
        <f>'Récapitulatif 2025'!E77</f>
        <v/>
      </c>
      <c r="D31" s="32">
        <f>B31*C31</f>
        <v/>
      </c>
      <c r="E31" s="33">
        <f>Paramètres!$J$10/365</f>
        <v/>
      </c>
      <c r="F31" s="32">
        <f>D31*E31</f>
        <v/>
      </c>
    </row>
    <row r="32" ht="18" customHeight="1">
      <c r="A32" s="7" t="inlineStr">
        <is>
          <t>Sous-total — HONORAIRES</t>
        </is>
      </c>
      <c r="C32" s="8">
        <f>SUM(C31:C31)</f>
        <v/>
      </c>
      <c r="D32" s="8">
        <f>SUM(D31:D31)</f>
        <v/>
      </c>
      <c r="E32" s="34" t="n"/>
      <c r="F32" s="8">
        <f>SUM(F31:F31)</f>
        <v/>
      </c>
    </row>
    <row r="33" ht="18" customHeight="1">
      <c r="A33" s="5" t="inlineStr">
        <is>
          <t>TRAVAUX</t>
        </is>
      </c>
    </row>
    <row r="34" ht="15.05" customHeight="1">
      <c r="A34" s="30" t="inlineStr">
        <is>
          <t>Entretien Courant</t>
        </is>
      </c>
      <c r="B34" s="31">
        <f>Paramètres!$C$10/Paramètres!$C$3</f>
        <v/>
      </c>
      <c r="C34" s="32">
        <f>'Récapitulatif 2025'!E81</f>
        <v/>
      </c>
      <c r="D34" s="32">
        <f>B34*C34</f>
        <v/>
      </c>
      <c r="E34" s="33">
        <f>Paramètres!$J$10/365</f>
        <v/>
      </c>
      <c r="F34" s="32">
        <f>D34*E34</f>
        <v/>
      </c>
    </row>
    <row r="35" ht="18" customHeight="1">
      <c r="A35" s="7" t="inlineStr">
        <is>
          <t>Sous-total — TRAVAUX</t>
        </is>
      </c>
      <c r="C35" s="8">
        <f>SUM(C34:C34)</f>
        <v/>
      </c>
      <c r="D35" s="8">
        <f>SUM(D34:D34)</f>
        <v/>
      </c>
      <c r="E35" s="34" t="n"/>
      <c r="F35" s="8">
        <f>SUM(F34:F34)</f>
        <v/>
      </c>
    </row>
    <row r="36" ht="7.55" customHeight="1"/>
    <row r="37" ht="21.75" customHeight="1">
      <c r="A37" s="13" t="inlineStr">
        <is>
          <t>TOTAL CHARGES RÉCUPÉRABLES RÉELLES (€ HT)</t>
        </is>
      </c>
      <c r="C37" s="14">
        <f>C20+C26+C29+C32+C35</f>
        <v/>
      </c>
      <c r="D37" s="14">
        <f>D20+D26+D29+D32+D35</f>
        <v/>
      </c>
      <c r="E37" s="35" t="n"/>
      <c r="F37" s="14">
        <f>F20+F26+F29+F32+F35</f>
        <v/>
      </c>
    </row>
    <row r="38" ht="7.55" customHeight="1"/>
    <row r="39" ht="19.55" customHeight="1">
      <c r="A39" s="5" t="inlineStr">
        <is>
          <t>Provisions pour charges versées</t>
        </is>
      </c>
      <c r="C39" s="36" t="n"/>
      <c r="D39" s="26" t="inlineStr">
        <is>
          <t>Montant annuel (€)</t>
        </is>
      </c>
      <c r="E39" s="36" t="n"/>
      <c r="F39" s="26" t="inlineStr">
        <is>
          <t>Montant locataire (€)</t>
        </is>
      </c>
    </row>
    <row r="40" ht="15.8" customHeight="1">
      <c r="A40" s="19" t="inlineStr">
        <is>
          <t xml:space="preserve">  1er trimestre (T1)</t>
        </is>
      </c>
    </row>
    <row r="41" ht="15.8" customHeight="1">
      <c r="A41" s="19" t="inlineStr">
        <is>
          <t xml:space="preserve">  2e trimestre (T2)</t>
        </is>
      </c>
    </row>
    <row r="42" ht="15.8" customHeight="1">
      <c r="A42" s="19" t="inlineStr">
        <is>
          <t xml:space="preserve">  3e trimestre (T3)</t>
        </is>
      </c>
    </row>
    <row r="43" ht="15.8" customHeight="1">
      <c r="A43" s="19" t="inlineStr">
        <is>
          <t xml:space="preserve">  4e trimestre (T4)</t>
        </is>
      </c>
    </row>
    <row r="44" ht="18" customHeight="1">
      <c r="A44" s="7" t="inlineStr">
        <is>
          <t>Total provisions pour charges versées →</t>
        </is>
      </c>
      <c r="D44" s="8">
        <f>SUM(D40:D43)</f>
        <v/>
      </c>
      <c r="E44" s="34" t="n"/>
      <c r="F44" s="8">
        <f>SUM(F40:F43)</f>
        <v/>
      </c>
    </row>
    <row r="45" ht="7.55" customHeight="1"/>
    <row r="46" ht="21.75" customHeight="1">
      <c r="A46" s="37">
        <f>IF(F37-F44&gt;0,"SOLDE DÉBITEUR","SOLDE CRÉDITEUR")</f>
        <v/>
      </c>
      <c r="D46" s="38">
        <f>D37-D44</f>
        <v/>
      </c>
      <c r="E46" s="36" t="n"/>
      <c r="F46" s="38">
        <f>F37-F44</f>
        <v/>
      </c>
    </row>
    <row r="48" ht="27.75" customHeight="1">
      <c r="A48" s="39" t="inlineStr">
        <is>
          <t>ℹ  Clé répartition = surface lot ÷ surface totale site. Période = nombre de jours d'occupation ÷ 365.</t>
        </is>
      </c>
    </row>
  </sheetData>
  <mergeCells count="18">
    <mergeCell ref="A2:F2"/>
    <mergeCell ref="A20:B20"/>
    <mergeCell ref="A26:B26"/>
    <mergeCell ref="A30:F30"/>
    <mergeCell ref="A33:F33"/>
    <mergeCell ref="A29:B29"/>
    <mergeCell ref="A44:C44"/>
    <mergeCell ref="A46:C46"/>
    <mergeCell ref="A1:F1"/>
    <mergeCell ref="A5:F5"/>
    <mergeCell ref="A27:F27"/>
    <mergeCell ref="A37:B37"/>
    <mergeCell ref="A32:B32"/>
    <mergeCell ref="A48:F48"/>
    <mergeCell ref="A3:F3"/>
    <mergeCell ref="A21:F21"/>
    <mergeCell ref="A39:B39"/>
    <mergeCell ref="A35:B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CONTRAT MAINTENANCE</t>
        </is>
      </c>
    </row>
    <row r="6" ht="15.05" customHeight="1">
      <c r="A6" s="30" t="inlineStr">
        <is>
          <t>Portails + Barrières automatiques</t>
        </is>
      </c>
      <c r="B6" s="31">
        <f>Paramètres!$C$11/Paramètres!$C$3</f>
        <v/>
      </c>
      <c r="C6" s="32">
        <f>'Récapitulatif 2025'!E7</f>
        <v/>
      </c>
      <c r="D6" s="32">
        <f>B6*C6</f>
        <v/>
      </c>
      <c r="E6" s="33">
        <f>Paramètres!$J$11/365</f>
        <v/>
      </c>
      <c r="F6" s="32">
        <f>D6*E6</f>
        <v/>
      </c>
    </row>
    <row r="7" ht="15.05" customHeight="1">
      <c r="A7" s="30" t="inlineStr">
        <is>
          <t>Séparateur hydro.</t>
        </is>
      </c>
      <c r="B7" s="31">
        <f>Paramètres!$C$11/Paramètres!$C$3</f>
        <v/>
      </c>
      <c r="C7" s="32">
        <f>'Récapitulatif 2025'!E34</f>
        <v/>
      </c>
      <c r="D7" s="32">
        <f>B7*C7</f>
        <v/>
      </c>
      <c r="E7" s="33">
        <f>Paramètres!$J$11/365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Paramètres!$C$11/Paramètres!$C$3</f>
        <v/>
      </c>
      <c r="C8" s="32">
        <f>'Récapitulatif 2025'!E10</f>
        <v/>
      </c>
      <c r="D8" s="32">
        <f>B8*C8</f>
        <v/>
      </c>
      <c r="E8" s="33">
        <f>Paramètres!$J$11/365</f>
        <v/>
      </c>
      <c r="F8" s="32">
        <f>D8*E8</f>
        <v/>
      </c>
    </row>
    <row r="9" ht="15.05" customHeight="1">
      <c r="A9" s="30" t="inlineStr">
        <is>
          <t>Ascenseur</t>
        </is>
      </c>
      <c r="B9" s="31">
        <f>Paramètres!$C$11/Paramètres!$C$3</f>
        <v/>
      </c>
      <c r="C9" s="32">
        <f>'Récapitulatif 2025'!E13</f>
        <v/>
      </c>
      <c r="D9" s="32">
        <f>B9*C9</f>
        <v/>
      </c>
      <c r="E9" s="33">
        <f>Paramètres!$J$11/365</f>
        <v/>
      </c>
      <c r="F9" s="32">
        <f>D9*E9</f>
        <v/>
      </c>
    </row>
    <row r="10" ht="15.05" customHeight="1">
      <c r="A10" s="30" t="inlineStr">
        <is>
          <t>Chaufferie</t>
        </is>
      </c>
      <c r="B10" s="31">
        <f>Paramètres!$C$11/Paramètres!$C$3</f>
        <v/>
      </c>
      <c r="C10" s="32">
        <f>'Récapitulatif 2025'!E16</f>
        <v/>
      </c>
      <c r="D10" s="32">
        <f>B10*C10</f>
        <v/>
      </c>
      <c r="E10" s="33">
        <f>Paramètres!$J$11/365</f>
        <v/>
      </c>
      <c r="F10" s="32">
        <f>D10*E10</f>
        <v/>
      </c>
    </row>
    <row r="11" ht="15.05" customHeight="1">
      <c r="A11" s="30" t="inlineStr">
        <is>
          <t>Désenfumage</t>
        </is>
      </c>
      <c r="B11" s="31">
        <f>Paramètres!$C$11/Paramètres!$C$3</f>
        <v/>
      </c>
      <c r="C11" s="32">
        <f>'Récapitulatif 2025'!E19</f>
        <v/>
      </c>
      <c r="D11" s="32">
        <f>B11*C11</f>
        <v/>
      </c>
      <c r="E11" s="33">
        <f>Paramètres!$J$11/365</f>
        <v/>
      </c>
      <c r="F11" s="32">
        <f>D11*E11</f>
        <v/>
      </c>
    </row>
    <row r="12" ht="15.05" customHeight="1">
      <c r="A12" s="30" t="inlineStr">
        <is>
          <t>Espaces verts</t>
        </is>
      </c>
      <c r="B12" s="31">
        <f>Paramètres!$C$11/Paramètres!$C$3</f>
        <v/>
      </c>
      <c r="C12" s="32">
        <f>'Récapitulatif 2025'!E22</f>
        <v/>
      </c>
      <c r="D12" s="32">
        <f>B12*C12</f>
        <v/>
      </c>
      <c r="E12" s="33">
        <f>Paramètres!$J$11/365</f>
        <v/>
      </c>
      <c r="F12" s="32">
        <f>D12*E12</f>
        <v/>
      </c>
    </row>
    <row r="13" ht="15.05" customHeight="1">
      <c r="A13" s="30" t="inlineStr">
        <is>
          <t>Portes Coupe-Feu</t>
        </is>
      </c>
      <c r="B13" s="31">
        <f>Paramètres!$C$11/Paramètres!$C$3</f>
        <v/>
      </c>
      <c r="C13" s="32">
        <f>'Récapitulatif 2025'!E25</f>
        <v/>
      </c>
      <c r="D13" s="32">
        <f>B13*C13</f>
        <v/>
      </c>
      <c r="E13" s="33">
        <f>Paramètres!$J$11/365</f>
        <v/>
      </c>
      <c r="F13" s="32">
        <f>D13*E13</f>
        <v/>
      </c>
    </row>
    <row r="14" ht="15.05" customHeight="1">
      <c r="A14" s="30" t="inlineStr">
        <is>
          <t>Protection foudre</t>
        </is>
      </c>
      <c r="B14" s="31">
        <f>Paramètres!$C$11/Paramètres!$C$3</f>
        <v/>
      </c>
      <c r="C14" s="32">
        <f>'Récapitulatif 2025'!E28</f>
        <v/>
      </c>
      <c r="D14" s="32">
        <f>B14*C14</f>
        <v/>
      </c>
      <c r="E14" s="33">
        <f>Paramètres!$J$11/365</f>
        <v/>
      </c>
      <c r="F14" s="32">
        <f>D14*E14</f>
        <v/>
      </c>
    </row>
    <row r="15" ht="15.05" customHeight="1">
      <c r="A15" s="30" t="inlineStr">
        <is>
          <t>Quais &amp; Portes sectionnelles</t>
        </is>
      </c>
      <c r="B15" s="31">
        <f>Paramètres!$C$11/Paramètres!$C$3</f>
        <v/>
      </c>
      <c r="C15" s="32">
        <f>'Récapitulatif 2025'!E31</f>
        <v/>
      </c>
      <c r="D15" s="32">
        <f>B15*C15</f>
        <v/>
      </c>
      <c r="E15" s="33">
        <f>Paramètres!$J$11/365</f>
        <v/>
      </c>
      <c r="F15" s="32">
        <f>D15*E15</f>
        <v/>
      </c>
    </row>
    <row r="16" ht="15.05" customHeight="1">
      <c r="A16" s="30" t="inlineStr">
        <is>
          <t>Sprinklers - RIA - PI - Fioul</t>
        </is>
      </c>
      <c r="B16" s="31">
        <f>Paramètres!$C$11/Paramètres!$C$3</f>
        <v/>
      </c>
      <c r="C16" s="32">
        <f>'Récapitulatif 2025'!E37</f>
        <v/>
      </c>
      <c r="D16" s="32">
        <f>B16*C16</f>
        <v/>
      </c>
      <c r="E16" s="33">
        <f>Paramètres!$J$11/365</f>
        <v/>
      </c>
      <c r="F16" s="32">
        <f>D16*E16</f>
        <v/>
      </c>
    </row>
    <row r="17" ht="15.05" customHeight="1">
      <c r="A17" s="30" t="inlineStr">
        <is>
          <t>SSI</t>
        </is>
      </c>
      <c r="B17" s="31">
        <f>Paramètres!$C$11/Paramètres!$C$3</f>
        <v/>
      </c>
      <c r="C17" s="32">
        <f>'Récapitulatif 2025'!E40</f>
        <v/>
      </c>
      <c r="D17" s="32">
        <f>B17*C17</f>
        <v/>
      </c>
      <c r="E17" s="33">
        <f>Paramètres!$J$11/365</f>
        <v/>
      </c>
      <c r="F17" s="32">
        <f>D17*E17</f>
        <v/>
      </c>
    </row>
    <row r="18" ht="15.05" customHeight="1">
      <c r="A18" s="30" t="inlineStr">
        <is>
          <t>Télésurveillance</t>
        </is>
      </c>
      <c r="B18" s="31">
        <f>Paramètres!$C$11/Paramètres!$C$3</f>
        <v/>
      </c>
      <c r="C18" s="32">
        <f>'Récapitulatif 2025'!E43</f>
        <v/>
      </c>
      <c r="D18" s="32">
        <f>B18*C18</f>
        <v/>
      </c>
      <c r="E18" s="33">
        <f>Paramètres!$J$11/365</f>
        <v/>
      </c>
      <c r="F18" s="32">
        <f>D18*E18</f>
        <v/>
      </c>
    </row>
    <row r="19" ht="15.05" customHeight="1">
      <c r="A19" s="30" t="inlineStr">
        <is>
          <t>Toiture</t>
        </is>
      </c>
      <c r="B19" s="31">
        <f>Paramètres!$C$11/Paramètres!$C$3</f>
        <v/>
      </c>
      <c r="C19" s="32">
        <f>'Récapitulatif 2025'!E46</f>
        <v/>
      </c>
      <c r="D19" s="32">
        <f>B19*C19</f>
        <v/>
      </c>
      <c r="E19" s="33">
        <f>Paramètres!$J$11/365</f>
        <v/>
      </c>
      <c r="F19" s="32">
        <f>D19*E19</f>
        <v/>
      </c>
    </row>
    <row r="20" ht="18" customHeight="1">
      <c r="A20" s="7" t="inlineStr">
        <is>
          <t>Sous-total — CONTRAT MAINTENANCE</t>
        </is>
      </c>
      <c r="C20" s="8">
        <f>SUM(C6:C19)</f>
        <v/>
      </c>
      <c r="D20" s="8">
        <f>SUM(D6:D19)</f>
        <v/>
      </c>
      <c r="E20" s="34" t="n"/>
      <c r="F20" s="8">
        <f>SUM(F6:F19)</f>
        <v/>
      </c>
    </row>
    <row r="21" ht="18" customHeight="1">
      <c r="A21" s="5" t="inlineStr">
        <is>
          <t>FLUIDES</t>
        </is>
      </c>
    </row>
    <row r="22" ht="15.05" customHeight="1">
      <c r="A22" s="30" t="inlineStr">
        <is>
          <t>Electricité</t>
        </is>
      </c>
      <c r="B22" s="31">
        <f>Paramètres!$C$11/Paramètres!$C$3</f>
        <v/>
      </c>
      <c r="C22" s="32">
        <f>'Récapitulatif 2025'!E60</f>
        <v/>
      </c>
      <c r="D22" s="32">
        <f>B22*C22</f>
        <v/>
      </c>
      <c r="E22" s="33">
        <f>Paramètres!$H$11/365</f>
        <v/>
      </c>
      <c r="F22" s="32">
        <f>D22*E22</f>
        <v/>
      </c>
    </row>
    <row r="23" ht="15.05" customHeight="1">
      <c r="A23" s="30" t="inlineStr">
        <is>
          <t>Eau</t>
        </is>
      </c>
      <c r="B23" s="31">
        <f>Paramètres!$C$11/Paramètres!$C$3</f>
        <v/>
      </c>
      <c r="C23" s="32">
        <f>'Récapitulatif 2025'!E63</f>
        <v/>
      </c>
      <c r="D23" s="32">
        <f>B23*C23</f>
        <v/>
      </c>
      <c r="E23" s="33">
        <f>Paramètres!$H$11/365</f>
        <v/>
      </c>
      <c r="F23" s="32">
        <f>D23*E23</f>
        <v/>
      </c>
    </row>
    <row r="24" ht="15.05" customHeight="1">
      <c r="A24" s="30" t="inlineStr">
        <is>
          <t>Eau - Incendie</t>
        </is>
      </c>
      <c r="B24" s="31">
        <f>Paramètres!$C$11/Paramètres!$C$3</f>
        <v/>
      </c>
      <c r="C24" s="32">
        <f>'Récapitulatif 2025'!E66</f>
        <v/>
      </c>
      <c r="D24" s="32">
        <f>B24*C24</f>
        <v/>
      </c>
      <c r="E24" s="33">
        <f>Paramètres!$H$11/365</f>
        <v/>
      </c>
      <c r="F24" s="32">
        <f>D24*E24</f>
        <v/>
      </c>
    </row>
    <row r="25" ht="15.05" customHeight="1">
      <c r="A25" s="30" t="inlineStr">
        <is>
          <t>Gaz</t>
        </is>
      </c>
      <c r="B25" s="31">
        <f>Paramètres!$C$11/Paramètres!$C$3</f>
        <v/>
      </c>
      <c r="C25" s="32">
        <f>'Récapitulatif 2025'!E69</f>
        <v/>
      </c>
      <c r="D25" s="32">
        <f>B25*C25</f>
        <v/>
      </c>
      <c r="E25" s="33">
        <f>Paramètres!$H$11/365</f>
        <v/>
      </c>
      <c r="F25" s="32">
        <f>D25*E25</f>
        <v/>
      </c>
    </row>
    <row r="26" ht="18" customHeight="1">
      <c r="A26" s="7" t="inlineStr">
        <is>
          <t>Sous-total — FLUIDES</t>
        </is>
      </c>
      <c r="C26" s="8">
        <f>SUM(C22:C25)</f>
        <v/>
      </c>
      <c r="D26" s="8">
        <f>SUM(D22:D25)</f>
        <v/>
      </c>
      <c r="E26" s="34" t="n"/>
      <c r="F26" s="8">
        <f>SUM(F22:F25)</f>
        <v/>
      </c>
    </row>
    <row r="27" ht="18" customHeight="1">
      <c r="A27" s="5" t="inlineStr">
        <is>
          <t>TAXES</t>
        </is>
      </c>
    </row>
    <row r="28" ht="15.05" customHeight="1">
      <c r="A28" s="30" t="inlineStr">
        <is>
          <t>Taxe Bureau &amp; Stationnement</t>
        </is>
      </c>
      <c r="B28" s="31">
        <f>Paramètres!$C$11/Paramètres!$C$3</f>
        <v/>
      </c>
      <c r="C28" s="32">
        <f>'Récapitulatif 2025'!E73</f>
        <v/>
      </c>
      <c r="D28" s="32">
        <f>B28*C28</f>
        <v/>
      </c>
      <c r="E28" s="33">
        <f>Paramètres!$J$11/365</f>
        <v/>
      </c>
      <c r="F28" s="32">
        <f>D28*E28</f>
        <v/>
      </c>
    </row>
    <row r="29" ht="18" customHeight="1">
      <c r="A29" s="7" t="inlineStr">
        <is>
          <t>Sous-total — TAXES</t>
        </is>
      </c>
      <c r="C29" s="8">
        <f>SUM(C28:C28)</f>
        <v/>
      </c>
      <c r="D29" s="8">
        <f>SUM(D28:D28)</f>
        <v/>
      </c>
      <c r="E29" s="34" t="n"/>
      <c r="F29" s="8">
        <f>SUM(F28:F28)</f>
        <v/>
      </c>
    </row>
    <row r="30" ht="18" customHeight="1">
      <c r="A30" s="5" t="inlineStr">
        <is>
          <t>HONORAIRES</t>
        </is>
      </c>
    </row>
    <row r="31" ht="15.05" customHeight="1">
      <c r="A31" s="30" t="inlineStr">
        <is>
          <t>Honoraires Divers</t>
        </is>
      </c>
      <c r="B31" s="31">
        <f>Paramètres!$C$11/Paramètres!$C$3</f>
        <v/>
      </c>
      <c r="C31" s="32">
        <f>'Récapitulatif 2025'!E77</f>
        <v/>
      </c>
      <c r="D31" s="32">
        <f>B31*C31</f>
        <v/>
      </c>
      <c r="E31" s="33">
        <f>Paramètres!$J$11/365</f>
        <v/>
      </c>
      <c r="F31" s="32">
        <f>D31*E31</f>
        <v/>
      </c>
    </row>
    <row r="32" ht="18" customHeight="1">
      <c r="A32" s="7" t="inlineStr">
        <is>
          <t>Sous-total — HONORAIRES</t>
        </is>
      </c>
      <c r="C32" s="8">
        <f>SUM(C31:C31)</f>
        <v/>
      </c>
      <c r="D32" s="8">
        <f>SUM(D31:D31)</f>
        <v/>
      </c>
      <c r="E32" s="34" t="n"/>
      <c r="F32" s="8">
        <f>SUM(F31:F31)</f>
        <v/>
      </c>
    </row>
    <row r="33" ht="18" customHeight="1">
      <c r="A33" s="5" t="inlineStr">
        <is>
          <t>TRAVAUX</t>
        </is>
      </c>
    </row>
    <row r="34" ht="15.05" customHeight="1">
      <c r="A34" s="30" t="inlineStr">
        <is>
          <t>Entretien Courant</t>
        </is>
      </c>
      <c r="B34" s="31">
        <f>Paramètres!$C$11/Paramètres!$C$3</f>
        <v/>
      </c>
      <c r="C34" s="32">
        <f>'Récapitulatif 2025'!E81</f>
        <v/>
      </c>
      <c r="D34" s="32">
        <f>B34*C34</f>
        <v/>
      </c>
      <c r="E34" s="33">
        <f>Paramètres!$J$11/365</f>
        <v/>
      </c>
      <c r="F34" s="32">
        <f>D34*E34</f>
        <v/>
      </c>
    </row>
    <row r="35" ht="18" customHeight="1">
      <c r="A35" s="7" t="inlineStr">
        <is>
          <t>Sous-total — TRAVAUX</t>
        </is>
      </c>
      <c r="C35" s="8">
        <f>SUM(C34:C34)</f>
        <v/>
      </c>
      <c r="D35" s="8">
        <f>SUM(D34:D34)</f>
        <v/>
      </c>
      <c r="E35" s="34" t="n"/>
      <c r="F35" s="8">
        <f>SUM(F34:F34)</f>
        <v/>
      </c>
    </row>
    <row r="36" ht="7.55" customHeight="1"/>
    <row r="37" ht="21.75" customHeight="1">
      <c r="A37" s="13" t="inlineStr">
        <is>
          <t>TOTAL CHARGES RÉCUPÉRABLES RÉELLES (€ HT)</t>
        </is>
      </c>
      <c r="C37" s="14">
        <f>C20+C26+C29+C32+C35</f>
        <v/>
      </c>
      <c r="D37" s="14">
        <f>D20+D26+D29+D32+D35</f>
        <v/>
      </c>
      <c r="E37" s="35" t="n"/>
      <c r="F37" s="14">
        <f>F20+F26+F29+F32+F35</f>
        <v/>
      </c>
    </row>
    <row r="38" ht="7.55" customHeight="1"/>
    <row r="39" ht="19.55" customHeight="1">
      <c r="A39" s="5" t="inlineStr">
        <is>
          <t>Provisions pour charges versées</t>
        </is>
      </c>
      <c r="C39" s="36" t="n"/>
      <c r="D39" s="26" t="inlineStr">
        <is>
          <t>Montant annuel (€)</t>
        </is>
      </c>
      <c r="E39" s="36" t="n"/>
      <c r="F39" s="26" t="inlineStr">
        <is>
          <t>Montant locataire (€)</t>
        </is>
      </c>
    </row>
    <row r="40" ht="15.8" customHeight="1">
      <c r="A40" s="19" t="inlineStr">
        <is>
          <t xml:space="preserve">  1er trimestre (T1)</t>
        </is>
      </c>
    </row>
    <row r="41" ht="15.8" customHeight="1">
      <c r="A41" s="19" t="inlineStr">
        <is>
          <t xml:space="preserve">  2e trimestre (T2)</t>
        </is>
      </c>
    </row>
    <row r="42" ht="15.8" customHeight="1">
      <c r="A42" s="19" t="inlineStr">
        <is>
          <t xml:space="preserve">  3e trimestre (T3)</t>
        </is>
      </c>
    </row>
    <row r="43" ht="15.8" customHeight="1">
      <c r="A43" s="19" t="inlineStr">
        <is>
          <t xml:space="preserve">  4e trimestre (T4)</t>
        </is>
      </c>
    </row>
    <row r="44" ht="18" customHeight="1">
      <c r="A44" s="7" t="inlineStr">
        <is>
          <t>Total provisions pour charges versées →</t>
        </is>
      </c>
      <c r="D44" s="8">
        <f>SUM(D40:D43)</f>
        <v/>
      </c>
      <c r="E44" s="34" t="n"/>
      <c r="F44" s="8">
        <f>SUM(F40:F43)</f>
        <v/>
      </c>
    </row>
    <row r="45" ht="7.55" customHeight="1"/>
    <row r="46" ht="21.75" customHeight="1">
      <c r="A46" s="37">
        <f>IF(F37-F44&gt;0,"SOLDE DÉBITEUR","SOLDE CRÉDITEUR")</f>
        <v/>
      </c>
      <c r="D46" s="38">
        <f>D37-D44</f>
        <v/>
      </c>
      <c r="E46" s="36" t="n"/>
      <c r="F46" s="38">
        <f>F37-F44</f>
        <v/>
      </c>
    </row>
    <row r="48" ht="27.75" customHeight="1">
      <c r="A48" s="39" t="inlineStr">
        <is>
          <t>ℹ  Clé répartition = surface lot ÷ surface totale site. Période = nombre de jours d'occupation ÷ 365.</t>
        </is>
      </c>
    </row>
  </sheetData>
  <mergeCells count="18">
    <mergeCell ref="A2:F2"/>
    <mergeCell ref="A20:B20"/>
    <mergeCell ref="A26:B26"/>
    <mergeCell ref="A30:F30"/>
    <mergeCell ref="A33:F33"/>
    <mergeCell ref="A29:B29"/>
    <mergeCell ref="A44:C44"/>
    <mergeCell ref="A46:C46"/>
    <mergeCell ref="A1:F1"/>
    <mergeCell ref="A5:F5"/>
    <mergeCell ref="A27:F27"/>
    <mergeCell ref="A37:B37"/>
    <mergeCell ref="A32:B32"/>
    <mergeCell ref="A48:F48"/>
    <mergeCell ref="A3:F3"/>
    <mergeCell ref="A21:F21"/>
    <mergeCell ref="A39:B39"/>
    <mergeCell ref="A35:B3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9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0">
        <f>Paramètres!A7</f>
        <v/>
      </c>
      <c r="B5" s="18">
        <f>Paramètres!B7</f>
        <v/>
      </c>
      <c r="C5" s="41">
        <f>Paramètres!C7</f>
        <v/>
      </c>
      <c r="D5" s="32">
        <f>'BAT 1 - MEAUX I'!D37</f>
        <v/>
      </c>
      <c r="E5" s="33">
        <f>Paramètres!H7/365</f>
        <v/>
      </c>
      <c r="F5" s="28">
        <f>IF(Paramètres!B7="Vacant",'BAT 1 - MEAUX I'!D37,'BAT 1 - MEAUX I'!D37-'BAT 1 - MEAUX I'!F37)</f>
        <v/>
      </c>
    </row>
    <row r="6" ht="18" customHeight="1">
      <c r="A6" s="40">
        <f>Paramètres!A8</f>
        <v/>
      </c>
      <c r="B6" s="18">
        <f>Paramètres!B8</f>
        <v/>
      </c>
      <c r="C6" s="41">
        <f>Paramètres!C8</f>
        <v/>
      </c>
      <c r="D6" s="32">
        <f>'C1'!D37</f>
        <v/>
      </c>
      <c r="E6" s="33">
        <f>Paramètres!H8/365</f>
        <v/>
      </c>
      <c r="F6" s="28">
        <f>IF(Paramètres!B8="Vacant",'C1'!D37,'C1'!D37-'C1'!F37)</f>
        <v/>
      </c>
    </row>
    <row r="7" ht="18" customHeight="1">
      <c r="A7" s="40">
        <f>Paramètres!A9</f>
        <v/>
      </c>
      <c r="B7" s="18">
        <f>Paramètres!B9</f>
        <v/>
      </c>
      <c r="C7" s="41">
        <f>Paramètres!C9</f>
        <v/>
      </c>
      <c r="D7" s="32">
        <f>'C2'!D37</f>
        <v/>
      </c>
      <c r="E7" s="33">
        <f>Paramètres!H9/365</f>
        <v/>
      </c>
      <c r="F7" s="28">
        <f>IF(Paramètres!B9="Vacant",'C2'!D37,'C2'!D37-'C2'!F37)</f>
        <v/>
      </c>
    </row>
    <row r="8" ht="18" customHeight="1">
      <c r="A8" s="40">
        <f>Paramètres!A10</f>
        <v/>
      </c>
      <c r="B8" s="18">
        <f>Paramètres!B10</f>
        <v/>
      </c>
      <c r="C8" s="41">
        <f>Paramètres!C10</f>
        <v/>
      </c>
      <c r="D8" s="32">
        <f>'C3'!D37</f>
        <v/>
      </c>
      <c r="E8" s="33">
        <f>Paramètres!H10/365</f>
        <v/>
      </c>
      <c r="F8" s="28">
        <f>IF(Paramètres!B10="Vacant",'C3'!D37,'C3'!D37-'C3'!F37)</f>
        <v/>
      </c>
    </row>
    <row r="9" ht="18" customHeight="1">
      <c r="A9" s="40">
        <f>Paramètres!A11</f>
        <v/>
      </c>
      <c r="B9" s="18">
        <f>Paramètres!B11</f>
        <v/>
      </c>
      <c r="C9" s="41">
        <f>Paramètres!C11</f>
        <v/>
      </c>
      <c r="D9" s="32">
        <f>'C4'!D37</f>
        <v/>
      </c>
      <c r="E9" s="33">
        <f>Paramètres!H11/365</f>
        <v/>
      </c>
      <c r="F9" s="28">
        <f>IF(Paramètres!B11="Vacant",'C4'!D37,'C4'!D37-'C4'!F37)</f>
        <v/>
      </c>
    </row>
    <row r="10" ht="6" customHeight="1"/>
    <row r="11" ht="18" customHeight="1">
      <c r="A11" s="7" t="inlineStr">
        <is>
          <t>Total QP charges (tous lots)</t>
        </is>
      </c>
      <c r="D11" s="8">
        <f>SUM(D5:D9)</f>
        <v/>
      </c>
      <c r="E11" s="34" t="n"/>
      <c r="F11" s="34" t="n"/>
    </row>
    <row r="12" ht="18" customHeight="1">
      <c r="A12" s="7" t="inlineStr">
        <is>
          <t>Nombre de lots vacants</t>
        </is>
      </c>
      <c r="D12" s="42">
        <f>COUNTIF(B5:B9,"Vacant")</f>
        <v/>
      </c>
      <c r="E12" s="34" t="n"/>
      <c r="F12" s="34" t="n"/>
    </row>
    <row r="13" ht="6" customHeight="1"/>
    <row r="14" ht="19.55" customHeight="1">
      <c r="A14" s="43" t="inlineStr">
        <is>
          <t>Charges non récupérables (Frais Bancaires + CAPEX)</t>
        </is>
      </c>
      <c r="F14" s="44">
        <f>'Récapitulatif 2025'!E50+'Récapitulatif 2025'!E53+'Récapitulatif 2025'!E56</f>
        <v/>
      </c>
    </row>
    <row r="15" ht="6" customHeight="1"/>
    <row r="16" ht="25.55" customHeight="1">
      <c r="A16" s="45" t="inlineStr">
        <is>
          <t>TOTAL COÛT DE LA VACANCE LOCATIVE (€ HT)</t>
        </is>
      </c>
      <c r="F16" s="46">
        <f>F5+F6+F7+F8+F9+F14</f>
        <v/>
      </c>
    </row>
    <row r="17" ht="6" customHeight="1"/>
    <row r="18" ht="19.55" customHeight="1">
      <c r="A18" s="7" t="inlineStr">
        <is>
          <t>Part vacance sur total charges site</t>
        </is>
      </c>
      <c r="F18" s="47">
        <f>IF(D11&gt;0,F16/D11,0)</f>
        <v/>
      </c>
    </row>
    <row r="19" ht="6" customHeight="1"/>
    <row r="20" ht="27.75" customHeight="1">
      <c r="A20" s="39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2026-05-07T14:53:13Z</dcterms:created>
  <dcterms:modified xsi:type="dcterms:W3CDTF">2026-05-07T14:53:13Z</dcterms:modified>
</cp:coreProperties>
</file>