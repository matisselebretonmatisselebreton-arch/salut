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ètres" sheetId="1" state="visible" r:id="rId1"/>
    <sheet name="Récapitulatif 2025" sheetId="2" state="visible" r:id="rId2"/>
    <sheet name="C1 C2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#,##0.00;(#,##0.00)"/>
    <numFmt numFmtId="167" formatCode="yyyy-mm-dd h:mm:ss"/>
    <numFmt numFmtId="168" formatCode="0.00000"/>
    <numFmt numFmtId="169" formatCode="0.00000000"/>
  </numFmts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8E8E8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0" pivotButton="0" quotePrefix="0" xfId="0"/>
    <xf numFmtId="166" fontId="2" fillId="0" borderId="0" pivotButton="0" quotePrefix="0" xfId="0"/>
    <xf numFmtId="0" fontId="1" fillId="4" borderId="0" pivotButton="0" quotePrefix="0" xfId="0"/>
    <xf numFmtId="166" fontId="1" fillId="4" borderId="0" pivotButton="0" quotePrefix="0" xfId="0"/>
    <xf numFmtId="166" fontId="1" fillId="3" borderId="0" pivotButton="0" quotePrefix="0" xfId="0"/>
    <xf numFmtId="168" fontId="4" fillId="0" borderId="0" pivotButton="0" quotePrefix="0" xfId="0"/>
    <xf numFmtId="166" fontId="4" fillId="0" borderId="0" pivotButton="0" quotePrefix="0" xfId="0"/>
    <xf numFmtId="169" fontId="4" fillId="0" borderId="0" pivotButton="0" quotePrefix="0" xfId="0"/>
    <xf numFmtId="166" fontId="1" fillId="0" borderId="2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4" customWidth="1" min="3" max="3"/>
    <col width="14" customWidth="1" min="4" max="4"/>
    <col width="26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PARAMÈTRES — Ne pas modifier</t>
        </is>
      </c>
    </row>
    <row r="2">
      <c r="A2" s="2" t="inlineStr">
        <is>
          <t>Surface totale du site (m²)</t>
        </is>
      </c>
      <c r="C2" s="2" t="n">
        <v>29565.91</v>
      </c>
    </row>
    <row r="4">
      <c r="A4" s="1" t="inlineStr">
        <is>
          <t>Lot</t>
        </is>
      </c>
      <c r="B4" s="1" t="inlineStr">
        <is>
          <t>Statut</t>
        </is>
      </c>
      <c r="C4" s="1" t="inlineStr">
        <is>
          <t>Surface (m²)</t>
        </is>
      </c>
      <c r="D4" s="1" t="inlineStr">
        <is>
          <t>Bâtiment</t>
        </is>
      </c>
      <c r="E4" s="1" t="inlineStr">
        <is>
          <t>Locataire</t>
        </is>
      </c>
      <c r="F4" s="1" t="inlineStr">
        <is>
          <t>Début de bail</t>
        </is>
      </c>
      <c r="G4" s="1" t="inlineStr">
        <is>
          <t>Fin de bail</t>
        </is>
      </c>
      <c r="H4" s="1" t="inlineStr">
        <is>
          <t>Début effectif (MAD/bail)</t>
        </is>
      </c>
      <c r="I4" s="1" t="inlineStr">
        <is>
          <t>Fin effective</t>
        </is>
      </c>
    </row>
    <row r="5">
      <c r="A5" s="2" t="inlineStr">
        <is>
          <t>C1 C2</t>
        </is>
      </c>
      <c r="B5" s="2" t="inlineStr">
        <is>
          <t>Occupé</t>
        </is>
      </c>
      <c r="C5" s="2" t="n">
        <v>9623</v>
      </c>
      <c r="D5" s="2" t="inlineStr"/>
      <c r="E5" s="2" t="inlineStr">
        <is>
          <t>ID LOGISTICS</t>
        </is>
      </c>
      <c r="F5" s="3" t="n">
        <v>45737</v>
      </c>
      <c r="G5" s="3" t="n">
        <v>50119</v>
      </c>
      <c r="H5" s="3" t="n">
        <v>45737</v>
      </c>
      <c r="I5" s="3" t="n">
        <v>50119</v>
      </c>
    </row>
    <row r="6">
      <c r="A6" s="2" t="inlineStr">
        <is>
          <t>C3 C4 C5</t>
        </is>
      </c>
      <c r="B6" s="2" t="inlineStr">
        <is>
          <t>Vacant</t>
        </is>
      </c>
      <c r="C6" s="2" t="n">
        <v>19942.91</v>
      </c>
      <c r="D6" s="2" t="inlineStr"/>
      <c r="E6" s="2" t="inlineStr"/>
      <c r="F6" s="2" t="n"/>
      <c r="G6" s="2" t="n"/>
      <c r="H6" s="2" t="n"/>
      <c r="I6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7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20" customWidth="1" min="3" max="3"/>
    <col width="48" customWidth="1" min="4" max="4"/>
    <col width="16" customWidth="1" min="5" max="5"/>
    <col width="12" customWidth="1" min="6" max="6"/>
    <col width="16" customWidth="1" min="7" max="7"/>
  </cols>
  <sheetData>
    <row r="1">
      <c r="A1" s="4" t="inlineStr">
        <is>
          <t>ÉTAT DES DÉPENSES 2025 — DÉTAIL DES FACTURES</t>
        </is>
      </c>
    </row>
    <row r="2">
      <c r="A2" s="2" t="inlineStr">
        <is>
          <t xml:space="preserve">Site : ORMES A  |  Période : 01/01/2025 – 31/12/2025  |  </t>
        </is>
      </c>
    </row>
    <row r="4">
      <c r="A4" s="5" t="inlineStr">
        <is>
          <t>Fournisseur</t>
        </is>
      </c>
      <c r="B4" s="5" t="inlineStr">
        <is>
          <t>Date</t>
        </is>
      </c>
      <c r="C4" s="5" t="inlineStr">
        <is>
          <t>N° Facture</t>
        </is>
      </c>
      <c r="D4" s="5" t="inlineStr">
        <is>
          <t>Description / Intitulé</t>
        </is>
      </c>
      <c r="E4" s="5" t="inlineStr">
        <is>
          <t>Montant HT (€)</t>
        </is>
      </c>
      <c r="F4" s="5" t="inlineStr">
        <is>
          <t>TVA (€)</t>
        </is>
      </c>
      <c r="G4" s="5" t="inlineStr">
        <is>
          <t>Montant TTC (€)</t>
        </is>
      </c>
    </row>
    <row r="5">
      <c r="A5" s="6" t="inlineStr">
        <is>
          <t>FLUIDES</t>
        </is>
      </c>
    </row>
    <row r="6">
      <c r="A6" s="1" t="inlineStr">
        <is>
          <t xml:space="preserve">  Eau</t>
        </is>
      </c>
    </row>
    <row r="7">
      <c r="A7" s="2" t="inlineStr">
        <is>
          <t>AQUALIGE</t>
        </is>
      </c>
      <c r="C7" s="2" t="inlineStr">
        <is>
          <t>1096904376-1</t>
        </is>
      </c>
      <c r="D7" s="2" t="inlineStr">
        <is>
          <t>Mise en service</t>
        </is>
      </c>
      <c r="E7" s="7" t="n">
        <v>49.82</v>
      </c>
      <c r="F7" s="7" t="n">
        <v>4.98</v>
      </c>
      <c r="G7" s="7" t="n">
        <v>54.8</v>
      </c>
    </row>
    <row r="8">
      <c r="A8" s="2" t="inlineStr">
        <is>
          <t>AQUALIGE</t>
        </is>
      </c>
      <c r="C8" s="2" t="inlineStr">
        <is>
          <t>1096892743-1</t>
        </is>
      </c>
      <c r="D8" s="2" t="inlineStr">
        <is>
          <t>Mise en service</t>
        </is>
      </c>
      <c r="E8" s="7" t="n">
        <v>49.82</v>
      </c>
      <c r="F8" s="7" t="n">
        <v>4.98</v>
      </c>
      <c r="G8" s="7" t="n">
        <v>54.8</v>
      </c>
    </row>
    <row r="9">
      <c r="A9" s="2" t="inlineStr">
        <is>
          <t>AQUALIGE</t>
        </is>
      </c>
      <c r="B9" s="3" t="n">
        <v>45854</v>
      </c>
      <c r="C9" s="2" t="inlineStr">
        <is>
          <t>1099190061</t>
        </is>
      </c>
      <c r="D9" s="2" t="inlineStr">
        <is>
          <t>EAU ET ASSAINISSEMENT COMPTEUR 124MK046246</t>
        </is>
      </c>
      <c r="E9" s="7" t="n">
        <v>645.02</v>
      </c>
      <c r="F9" s="7" t="n">
        <v>46.22</v>
      </c>
      <c r="G9" s="7" t="n">
        <v>691.24</v>
      </c>
    </row>
    <row r="10">
      <c r="A10" s="2" t="inlineStr">
        <is>
          <t>AQUALIGE</t>
        </is>
      </c>
      <c r="B10" s="3" t="n">
        <v>45854</v>
      </c>
      <c r="C10" s="2" t="inlineStr">
        <is>
          <t>1099203459</t>
        </is>
      </c>
      <c r="D10" s="2" t="inlineStr">
        <is>
          <t xml:space="preserve">EAU ET ASSAINISSEMENT COMPTEUR C24FE015783 </t>
        </is>
      </c>
      <c r="E10" s="7" t="n">
        <v>292.74</v>
      </c>
      <c r="F10" s="7" t="n">
        <v>21.75</v>
      </c>
      <c r="G10" s="7" t="n">
        <v>314.49</v>
      </c>
    </row>
    <row r="11">
      <c r="A11" s="8" t="inlineStr">
        <is>
          <t xml:space="preserve">    Sous-total — Eau</t>
        </is>
      </c>
      <c r="E11" s="9">
        <f>SUM(E7:E10)</f>
        <v/>
      </c>
      <c r="F11" s="9">
        <f>SUM(F7:F10)</f>
        <v/>
      </c>
      <c r="G11" s="9">
        <f>SUM(G7:G10)</f>
        <v/>
      </c>
    </row>
    <row r="13">
      <c r="A13" s="1" t="inlineStr">
        <is>
          <t xml:space="preserve">  Electricité</t>
        </is>
      </c>
    </row>
    <row r="14">
      <c r="A14" s="2" t="inlineStr">
        <is>
          <t>ENGIE</t>
        </is>
      </c>
      <c r="B14" s="3" t="n">
        <v>45780</v>
      </c>
      <c r="C14" s="2" t="inlineStr">
        <is>
          <t>1200009625875</t>
        </is>
      </c>
      <c r="D14" s="2" t="inlineStr">
        <is>
          <t>CONSOMMATIONS ELECTRICITE 01/04/2025 au 30/04/2025</t>
        </is>
      </c>
      <c r="E14" s="7" t="n">
        <v>4337.28</v>
      </c>
      <c r="F14" s="7" t="n">
        <v>867.46</v>
      </c>
      <c r="G14" s="7" t="n">
        <v>5204.74</v>
      </c>
    </row>
    <row r="15">
      <c r="A15" s="2" t="inlineStr">
        <is>
          <t>ENGIE</t>
        </is>
      </c>
      <c r="B15" s="3" t="n">
        <v>45813</v>
      </c>
      <c r="C15" s="2" t="inlineStr">
        <is>
          <t>40017044367</t>
        </is>
      </c>
      <c r="D15" s="2" t="inlineStr">
        <is>
          <t xml:space="preserve">CONSOMMATIONS ELECTRICTITE </t>
        </is>
      </c>
      <c r="E15" s="7" t="n">
        <v>3646.51</v>
      </c>
      <c r="F15" s="7" t="n">
        <v>729.3</v>
      </c>
      <c r="G15" s="7" t="n">
        <v>4375.81</v>
      </c>
    </row>
    <row r="16">
      <c r="A16" s="2" t="inlineStr">
        <is>
          <t>ENGIE</t>
        </is>
      </c>
      <c r="B16" s="3" t="n">
        <v>45843</v>
      </c>
      <c r="C16" s="2" t="inlineStr">
        <is>
          <t>520002087186</t>
        </is>
      </c>
      <c r="D16" s="2" t="inlineStr">
        <is>
          <t xml:space="preserve">CONSOMMATIONS ELECTRICTITE </t>
        </is>
      </c>
      <c r="E16" s="7" t="n">
        <v>3379.85</v>
      </c>
      <c r="F16" s="7" t="n">
        <v>675.97</v>
      </c>
      <c r="G16" s="7" t="n">
        <v>4055.82</v>
      </c>
    </row>
    <row r="17">
      <c r="A17" s="2" t="inlineStr">
        <is>
          <t>ENGIE</t>
        </is>
      </c>
      <c r="B17" s="3" t="n">
        <v>45876</v>
      </c>
      <c r="C17" s="2" t="inlineStr">
        <is>
          <t>320007792334</t>
        </is>
      </c>
      <c r="D17" s="2" t="inlineStr">
        <is>
          <t xml:space="preserve">CONSOMMATIONS ELECTRICTITE </t>
        </is>
      </c>
      <c r="E17" s="7" t="n">
        <v>3600.2</v>
      </c>
      <c r="F17" s="7" t="n">
        <v>720.04</v>
      </c>
      <c r="G17" s="7" t="n">
        <v>4320.24</v>
      </c>
    </row>
    <row r="18">
      <c r="A18" s="2" t="inlineStr">
        <is>
          <t>ENGIE</t>
        </is>
      </c>
      <c r="B18" s="3" t="n">
        <v>45904</v>
      </c>
      <c r="C18" s="2" t="inlineStr">
        <is>
          <t>760000335269</t>
        </is>
      </c>
      <c r="D18" s="2" t="inlineStr">
        <is>
          <t xml:space="preserve">CONSOMMATIONS ELECTRICTITE </t>
        </is>
      </c>
      <c r="E18" s="7" t="n">
        <v>3715.72</v>
      </c>
      <c r="F18" s="7" t="n">
        <v>743.14</v>
      </c>
      <c r="G18" s="7" t="n">
        <v>4458.86</v>
      </c>
    </row>
    <row r="19">
      <c r="A19" s="2" t="inlineStr">
        <is>
          <t>ENGIE</t>
        </is>
      </c>
      <c r="B19" s="3" t="n">
        <v>45934</v>
      </c>
      <c r="C19" s="2" t="inlineStr">
        <is>
          <t>630000369535</t>
        </is>
      </c>
      <c r="D19" s="2" t="inlineStr">
        <is>
          <t xml:space="preserve">CONSOMMATIONS ELECTRICTITE </t>
        </is>
      </c>
      <c r="E19" s="7" t="n">
        <v>3737.12</v>
      </c>
      <c r="F19" s="7" t="n">
        <v>747.42</v>
      </c>
      <c r="G19" s="7" t="n">
        <v>4484.54</v>
      </c>
    </row>
    <row r="20">
      <c r="A20" s="2" t="inlineStr">
        <is>
          <t>ENGIE</t>
        </is>
      </c>
      <c r="B20" s="3" t="n">
        <v>45965</v>
      </c>
      <c r="C20" s="2" t="inlineStr">
        <is>
          <t>690000378639</t>
        </is>
      </c>
      <c r="D20" s="2" t="inlineStr">
        <is>
          <t xml:space="preserve">CONSOMMATIONS ELECTRICTITE </t>
        </is>
      </c>
      <c r="E20" s="7" t="n">
        <v>4184.89</v>
      </c>
      <c r="F20" s="7" t="n">
        <v>836.98</v>
      </c>
      <c r="G20" s="7" t="n">
        <v>5021.870000000001</v>
      </c>
    </row>
    <row r="21">
      <c r="A21" s="2" t="inlineStr">
        <is>
          <t>ENGIE</t>
        </is>
      </c>
      <c r="B21" s="3" t="n">
        <v>45995</v>
      </c>
      <c r="C21" s="2" t="inlineStr">
        <is>
          <t>670000394240</t>
        </is>
      </c>
      <c r="D21" s="2" t="inlineStr">
        <is>
          <t xml:space="preserve">CONSOMMATIONS ELECTRICTITE </t>
        </is>
      </c>
      <c r="E21" s="7" t="n">
        <v>6650.18</v>
      </c>
      <c r="F21" s="7" t="n">
        <v>1330.04</v>
      </c>
      <c r="G21" s="7" t="n">
        <v>7980.22</v>
      </c>
    </row>
    <row r="22">
      <c r="A22" s="2" t="inlineStr">
        <is>
          <t>ENGIE</t>
        </is>
      </c>
      <c r="B22" s="3" t="n">
        <v>46025</v>
      </c>
      <c r="C22" s="2" t="inlineStr">
        <is>
          <t>980006173374</t>
        </is>
      </c>
      <c r="D22" s="2" t="inlineStr">
        <is>
          <t xml:space="preserve">CONSOMMATIONS ELECTRICTITE </t>
        </is>
      </c>
      <c r="E22" s="7" t="n">
        <v>7445.64</v>
      </c>
      <c r="F22" s="7" t="n">
        <v>1489.13</v>
      </c>
      <c r="G22" s="7" t="n">
        <v>8934.77</v>
      </c>
    </row>
    <row r="23">
      <c r="A23" s="8" t="inlineStr">
        <is>
          <t xml:space="preserve">    Sous-total — Electricité</t>
        </is>
      </c>
      <c r="E23" s="9">
        <f>SUM(E14:E22)</f>
        <v/>
      </c>
      <c r="F23" s="9">
        <f>SUM(F14:F22)</f>
        <v/>
      </c>
      <c r="G23" s="9">
        <f>SUM(G14:G22)</f>
        <v/>
      </c>
    </row>
    <row r="25">
      <c r="A25" s="1" t="inlineStr">
        <is>
          <t xml:space="preserve">  Gaz</t>
        </is>
      </c>
    </row>
    <row r="26">
      <c r="A26" s="2" t="inlineStr">
        <is>
          <t>ENGIE</t>
        </is>
      </c>
      <c r="B26" s="3" t="n">
        <v>45782</v>
      </c>
      <c r="C26" s="2" t="inlineStr">
        <is>
          <t>680000258800</t>
        </is>
      </c>
      <c r="D26" s="2" t="inlineStr">
        <is>
          <t>CONSOMMATIONS GAZ 02/04/2025 au 01/05/2025</t>
        </is>
      </c>
      <c r="E26" s="7" t="n">
        <v>2147.53</v>
      </c>
      <c r="F26" s="7" t="n">
        <v>160.14</v>
      </c>
      <c r="G26" s="7" t="n">
        <v>2307.67</v>
      </c>
    </row>
    <row r="27">
      <c r="A27" s="2" t="inlineStr">
        <is>
          <t>ENGIE</t>
        </is>
      </c>
      <c r="B27" s="3" t="n">
        <v>45813</v>
      </c>
      <c r="C27" s="2" t="inlineStr">
        <is>
          <t>780000262507</t>
        </is>
      </c>
      <c r="D27" s="2" t="inlineStr">
        <is>
          <t>CONSOMMATIONS GAZ</t>
        </is>
      </c>
      <c r="E27" s="7" t="n">
        <v>2039.74</v>
      </c>
      <c r="F27" s="7" t="n">
        <v>125.43</v>
      </c>
      <c r="G27" s="7" t="n">
        <v>2165.17</v>
      </c>
    </row>
    <row r="28">
      <c r="A28" s="2" t="inlineStr">
        <is>
          <t>ENGIE</t>
        </is>
      </c>
      <c r="B28" s="3" t="n">
        <v>45842</v>
      </c>
      <c r="C28" s="2" t="inlineStr">
        <is>
          <t>820001240297</t>
        </is>
      </c>
      <c r="D28" s="2" t="inlineStr">
        <is>
          <t>CONSOMMATIONS GAZ</t>
        </is>
      </c>
      <c r="E28" s="7" t="n">
        <v>2039.74</v>
      </c>
      <c r="F28" s="7" t="n">
        <v>125.43</v>
      </c>
      <c r="G28" s="7" t="n">
        <v>2165.17</v>
      </c>
    </row>
    <row r="29">
      <c r="A29" s="2" t="inlineStr">
        <is>
          <t>ENGIE</t>
        </is>
      </c>
      <c r="B29" s="3" t="n">
        <v>45873</v>
      </c>
      <c r="C29" s="2" t="inlineStr">
        <is>
          <t>40017074775</t>
        </is>
      </c>
      <c r="D29" s="2" t="inlineStr">
        <is>
          <t>CONSOMMATIONS GAZ</t>
        </is>
      </c>
      <c r="E29" s="7" t="n">
        <v>2048.67</v>
      </c>
      <c r="F29" s="7" t="n">
        <v>126.15</v>
      </c>
      <c r="G29" s="7" t="n">
        <v>2174.82</v>
      </c>
    </row>
    <row r="30">
      <c r="A30" s="2" t="inlineStr">
        <is>
          <t>ENGIE</t>
        </is>
      </c>
      <c r="B30" s="3" t="n">
        <v>45904</v>
      </c>
      <c r="C30" s="2" t="inlineStr">
        <is>
          <t>65000032141</t>
        </is>
      </c>
      <c r="D30" s="2" t="inlineStr">
        <is>
          <t>CONSOMMATIONS GAZ</t>
        </is>
      </c>
      <c r="E30" s="7" t="n">
        <v>2048.67</v>
      </c>
      <c r="F30" s="7" t="n">
        <v>409.73</v>
      </c>
      <c r="G30" s="7" t="n">
        <v>2458.4</v>
      </c>
    </row>
    <row r="31">
      <c r="A31" s="2" t="inlineStr">
        <is>
          <t>ENGIE</t>
        </is>
      </c>
      <c r="B31" s="3" t="n">
        <v>45934</v>
      </c>
      <c r="C31" s="2" t="inlineStr">
        <is>
          <t>420006908243</t>
        </is>
      </c>
      <c r="D31" s="2" t="inlineStr">
        <is>
          <t>CONSOMMATIONS GAZ</t>
        </is>
      </c>
      <c r="E31" s="7" t="n">
        <v>2048.67</v>
      </c>
      <c r="F31" s="7" t="n">
        <v>409.73</v>
      </c>
      <c r="G31" s="7" t="n">
        <v>2458.4</v>
      </c>
    </row>
    <row r="32">
      <c r="A32" s="2" t="inlineStr">
        <is>
          <t>ENGIE</t>
        </is>
      </c>
      <c r="B32" s="3" t="n">
        <v>45966</v>
      </c>
      <c r="C32" s="2" t="inlineStr">
        <is>
          <t>690000380305</t>
        </is>
      </c>
      <c r="D32" s="2" t="inlineStr">
        <is>
          <t>CONSOMMATIONS GAZ</t>
        </is>
      </c>
      <c r="E32" s="7" t="n">
        <v>2049.48</v>
      </c>
      <c r="F32" s="7" t="n">
        <v>409.9</v>
      </c>
      <c r="G32" s="7" t="n">
        <v>2459.38</v>
      </c>
    </row>
    <row r="33">
      <c r="A33" s="2" t="inlineStr">
        <is>
          <t>ENGIE</t>
        </is>
      </c>
      <c r="B33" s="3" t="n">
        <v>45995</v>
      </c>
      <c r="C33" s="2" t="inlineStr">
        <is>
          <t>820006290113</t>
        </is>
      </c>
      <c r="D33" s="2" t="inlineStr">
        <is>
          <t>CONSOMMATIONS GAZ</t>
        </is>
      </c>
      <c r="E33" s="7" t="n">
        <v>2055.74</v>
      </c>
      <c r="F33" s="7" t="n">
        <v>411.15</v>
      </c>
      <c r="G33" s="7" t="n">
        <v>2466.89</v>
      </c>
    </row>
    <row r="34">
      <c r="A34" s="2" t="inlineStr">
        <is>
          <t>ENGIE</t>
        </is>
      </c>
      <c r="B34" s="3" t="n">
        <v>46026</v>
      </c>
      <c r="C34" s="2" t="inlineStr">
        <is>
          <t>20040377238</t>
        </is>
      </c>
      <c r="D34" s="2" t="inlineStr">
        <is>
          <t>CONSOMMATIONS GAZ</t>
        </is>
      </c>
      <c r="E34" s="7" t="n">
        <v>2063.48</v>
      </c>
      <c r="F34" s="7" t="n">
        <v>412.7</v>
      </c>
      <c r="G34" s="7" t="n">
        <v>2476.18</v>
      </c>
    </row>
    <row r="35">
      <c r="A35" s="8" t="inlineStr">
        <is>
          <t xml:space="preserve">    Sous-total — Gaz</t>
        </is>
      </c>
      <c r="E35" s="9">
        <f>SUM(E26:E34)</f>
        <v/>
      </c>
      <c r="F35" s="9">
        <f>SUM(F26:F34)</f>
        <v/>
      </c>
      <c r="G35" s="9">
        <f>SUM(G26:G34)</f>
        <v/>
      </c>
    </row>
    <row r="37">
      <c r="A37" s="6" t="inlineStr">
        <is>
          <t>TRAVAUX</t>
        </is>
      </c>
    </row>
    <row r="38">
      <c r="A38" s="1" t="inlineStr">
        <is>
          <t xml:space="preserve">  Entretien Courant</t>
        </is>
      </c>
    </row>
    <row r="39">
      <c r="A39" s="2" t="inlineStr">
        <is>
          <t>ESPACE CLOTURE CENTRE</t>
        </is>
      </c>
      <c r="B39" s="3" t="n">
        <v>45803</v>
      </c>
      <c r="C39" s="2" t="inlineStr">
        <is>
          <t>18011749</t>
        </is>
      </c>
      <c r="D39" s="2" t="inlineStr">
        <is>
          <t>INSTALLATION BOUCLE SORTIE SUR PORTAIL VL</t>
        </is>
      </c>
      <c r="E39" s="7" t="n">
        <v>610</v>
      </c>
      <c r="F39" s="7" t="n">
        <v>122</v>
      </c>
      <c r="G39" s="7" t="n">
        <v>732</v>
      </c>
    </row>
    <row r="40">
      <c r="A40" s="2" t="inlineStr">
        <is>
          <t>ESPACE CLOTURE CENTRE</t>
        </is>
      </c>
      <c r="B40" s="3" t="n">
        <v>45832</v>
      </c>
      <c r="C40" s="2" t="inlineStr">
        <is>
          <t>18011816</t>
        </is>
      </c>
      <c r="D40" s="2" t="inlineStr">
        <is>
          <t>POSE DIGICODE</t>
        </is>
      </c>
      <c r="E40" s="7" t="n">
        <v>734.4</v>
      </c>
      <c r="F40" s="7" t="n">
        <v>146.88</v>
      </c>
      <c r="G40" s="7" t="n">
        <v>881.28</v>
      </c>
    </row>
    <row r="41">
      <c r="A41" s="8" t="inlineStr">
        <is>
          <t xml:space="preserve">    Sous-total — Entretien Courant</t>
        </is>
      </c>
      <c r="E41" s="9">
        <f>SUM(E39:E40)</f>
        <v/>
      </c>
      <c r="F41" s="9">
        <f>SUM(F39:F40)</f>
        <v/>
      </c>
      <c r="G41" s="9">
        <f>SUM(G39:G40)</f>
        <v/>
      </c>
    </row>
    <row r="43">
      <c r="A43" s="6" t="inlineStr">
        <is>
          <t>CONTRAT MAINTENANCE</t>
        </is>
      </c>
    </row>
    <row r="44">
      <c r="A44" s="1" t="inlineStr">
        <is>
          <t xml:space="preserve">  Espaces Verts</t>
        </is>
      </c>
    </row>
    <row r="45">
      <c r="A45" s="2" t="inlineStr">
        <is>
          <t>ARP ASTRANCE</t>
        </is>
      </c>
      <c r="B45" s="3" t="n">
        <v>45838</v>
      </c>
      <c r="C45" s="2" t="inlineStr">
        <is>
          <t>FC-ARP-25-06-0141</t>
        </is>
      </c>
      <c r="D45" s="2" t="inlineStr">
        <is>
          <t>Suivis écologiques</t>
        </is>
      </c>
      <c r="E45" s="7" t="n">
        <v>1500</v>
      </c>
      <c r="F45" s="7" t="n">
        <v>300</v>
      </c>
      <c r="G45" s="7" t="n">
        <v>1800</v>
      </c>
    </row>
    <row r="46">
      <c r="A46" s="2" t="inlineStr">
        <is>
          <t>ARP ASTRANCE</t>
        </is>
      </c>
      <c r="B46" s="3" t="n">
        <v>45869</v>
      </c>
      <c r="C46" s="2" t="inlineStr">
        <is>
          <t>FC-ARP-25-07-0086</t>
        </is>
      </c>
      <c r="D46" s="2" t="inlineStr">
        <is>
          <t>Suivis écologiques</t>
        </is>
      </c>
      <c r="E46" s="7" t="n">
        <v>2250</v>
      </c>
      <c r="F46" s="7" t="n">
        <v>450</v>
      </c>
      <c r="G46" s="7" t="n">
        <v>2700</v>
      </c>
    </row>
    <row r="47">
      <c r="A47" s="2" t="inlineStr">
        <is>
          <t>BOURDIN</t>
        </is>
      </c>
      <c r="B47" s="3" t="n">
        <v>45894</v>
      </c>
      <c r="C47" s="2" t="inlineStr">
        <is>
          <t>BP25080709</t>
        </is>
      </c>
      <c r="D47" s="2" t="inlineStr">
        <is>
          <t>Entretien espaces verts</t>
        </is>
      </c>
      <c r="E47" s="7" t="n">
        <v>1777.5</v>
      </c>
      <c r="F47" s="7" t="n">
        <v>355.5</v>
      </c>
      <c r="G47" s="7" t="n">
        <v>2133</v>
      </c>
    </row>
    <row r="48">
      <c r="A48" s="2" t="inlineStr">
        <is>
          <t>ARP ASTRANCE</t>
        </is>
      </c>
      <c r="B48" s="3" t="n">
        <v>45991</v>
      </c>
      <c r="C48" s="2" t="inlineStr">
        <is>
          <t>FC-ARP-25-11-0060</t>
        </is>
      </c>
      <c r="D48" s="2" t="inlineStr">
        <is>
          <t>Suivis écologiques</t>
        </is>
      </c>
      <c r="E48" s="7" t="n">
        <v>2450</v>
      </c>
      <c r="F48" s="7" t="n">
        <v>490</v>
      </c>
      <c r="G48" s="7" t="n">
        <v>2940</v>
      </c>
    </row>
    <row r="49">
      <c r="A49" s="2" t="inlineStr">
        <is>
          <t>BOURDIN</t>
        </is>
      </c>
      <c r="B49" s="3" t="n">
        <v>45986</v>
      </c>
      <c r="C49" s="2" t="inlineStr">
        <is>
          <t>BP 9000870</t>
        </is>
      </c>
      <c r="D49" s="2" t="inlineStr">
        <is>
          <t>Entretien espaces verts</t>
        </is>
      </c>
      <c r="E49" s="7" t="n">
        <v>1777.5</v>
      </c>
      <c r="F49" s="7" t="n">
        <v>355.5</v>
      </c>
      <c r="G49" s="7" t="n">
        <v>2133</v>
      </c>
    </row>
    <row r="50">
      <c r="A50" s="2" t="inlineStr">
        <is>
          <t>ARP.Astrance</t>
        </is>
      </c>
      <c r="B50" s="3" t="n">
        <v>45961</v>
      </c>
      <c r="C50" s="2" t="inlineStr">
        <is>
          <t>FC-ARP-25-10-0205</t>
        </is>
      </c>
      <c r="D50" s="2" t="inlineStr">
        <is>
          <t>Mission d'assistance à maîtrise d'ouvrage pour la réalisation de suivi écologiques</t>
        </is>
      </c>
      <c r="E50" s="7" t="n">
        <v>562.5</v>
      </c>
      <c r="F50" s="7" t="n">
        <v>112.5</v>
      </c>
      <c r="G50" s="7" t="n">
        <v>675</v>
      </c>
    </row>
    <row r="51">
      <c r="A51" s="8" t="inlineStr">
        <is>
          <t xml:space="preserve">    Sous-total — Espaces Verts</t>
        </is>
      </c>
      <c r="E51" s="9">
        <f>SUM(E45:E50)</f>
        <v/>
      </c>
      <c r="F51" s="9">
        <f>SUM(F45:F50)</f>
        <v/>
      </c>
      <c r="G51" s="9">
        <f>SUM(G45:G50)</f>
        <v/>
      </c>
    </row>
    <row r="53">
      <c r="A53" s="1" t="inlineStr">
        <is>
          <t xml:space="preserve">  CVC</t>
        </is>
      </c>
    </row>
    <row r="54">
      <c r="A54" s="2" t="inlineStr">
        <is>
          <t>EIFFAGE</t>
        </is>
      </c>
      <c r="B54" s="3" t="n">
        <v>45841</v>
      </c>
      <c r="C54" s="2" t="inlineStr">
        <is>
          <t>F00190250700001</t>
        </is>
      </c>
      <c r="D54" s="2" t="inlineStr">
        <is>
          <t>MAINTENANCE CVC CHAUFFERIE CLIMATISATION VRD PLOMBERIE</t>
        </is>
      </c>
      <c r="E54" s="7" t="n">
        <v>3430</v>
      </c>
      <c r="F54" s="7" t="n">
        <v>686</v>
      </c>
      <c r="G54" s="7" t="n">
        <v>4116</v>
      </c>
    </row>
    <row r="55">
      <c r="A55" s="2" t="inlineStr">
        <is>
          <t>EIFFAGE</t>
        </is>
      </c>
      <c r="B55" s="3" t="n">
        <v>45988</v>
      </c>
      <c r="C55" s="2" t="inlineStr">
        <is>
          <t>F00190251100472</t>
        </is>
      </c>
      <c r="D55" s="2" t="inlineStr">
        <is>
          <t>REGULARISATION DEFAUT POMPE DE RELEVAGE</t>
        </is>
      </c>
      <c r="E55" s="7" t="n">
        <v>250</v>
      </c>
      <c r="F55" s="7" t="n">
        <v>50</v>
      </c>
      <c r="G55" s="7" t="n">
        <v>300</v>
      </c>
    </row>
    <row r="56">
      <c r="A56" s="8" t="inlineStr">
        <is>
          <t xml:space="preserve">    Sous-total — CVC</t>
        </is>
      </c>
      <c r="E56" s="9">
        <f>SUM(E54:E55)</f>
        <v/>
      </c>
      <c r="F56" s="9">
        <f>SUM(F54:F55)</f>
        <v/>
      </c>
      <c r="G56" s="9">
        <f>SUM(G54:G55)</f>
        <v/>
      </c>
    </row>
    <row r="58">
      <c r="A58" s="1" t="inlineStr">
        <is>
          <t xml:space="preserve">  Sécurité</t>
        </is>
      </c>
    </row>
    <row r="59">
      <c r="A59" s="2" t="inlineStr">
        <is>
          <t>AVC Sécurité</t>
        </is>
      </c>
      <c r="B59" s="3" t="n">
        <v>45776</v>
      </c>
      <c r="C59" s="2" t="inlineStr"/>
      <c r="D59" s="2" t="inlineStr">
        <is>
          <t>CONTRAT DE TELESURVEILLANCE + GSM</t>
        </is>
      </c>
      <c r="E59" s="7" t="n">
        <v>840</v>
      </c>
      <c r="F59" s="7" t="n">
        <v>168</v>
      </c>
      <c r="G59" s="7" t="n">
        <v>1008</v>
      </c>
    </row>
    <row r="60">
      <c r="A60" s="2" t="inlineStr">
        <is>
          <t>AVC Sécurité</t>
        </is>
      </c>
      <c r="B60" s="3" t="n">
        <v>45747</v>
      </c>
      <c r="C60" s="2" t="inlineStr"/>
      <c r="D60" s="2" t="inlineStr">
        <is>
          <t>CONTRAT DE TELESURVEILLANCE + GSM</t>
        </is>
      </c>
      <c r="E60" s="7" t="n">
        <v>840</v>
      </c>
      <c r="F60" s="7" t="n">
        <v>168</v>
      </c>
      <c r="G60" s="7" t="n">
        <v>1008</v>
      </c>
    </row>
    <row r="61">
      <c r="A61" s="8" t="inlineStr">
        <is>
          <t xml:space="preserve">    Sous-total — Sécurité</t>
        </is>
      </c>
      <c r="E61" s="9">
        <f>SUM(E59:E60)</f>
        <v/>
      </c>
      <c r="F61" s="9">
        <f>SUM(F59:F60)</f>
        <v/>
      </c>
      <c r="G61" s="9">
        <f>SUM(G59:G60)</f>
        <v/>
      </c>
    </row>
    <row r="63">
      <c r="A63" s="1" t="inlineStr">
        <is>
          <t xml:space="preserve">  SSI</t>
        </is>
      </c>
    </row>
    <row r="64">
      <c r="A64" s="2" t="inlineStr">
        <is>
          <t>CONCEPT SECURITE</t>
        </is>
      </c>
      <c r="B64" s="3" t="n">
        <v>45832</v>
      </c>
      <c r="C64" s="2" t="inlineStr">
        <is>
          <t>FA022398</t>
        </is>
      </c>
      <c r="D64" s="2" t="inlineStr">
        <is>
          <t>DEPANNAGE SSI - EXERCICE ID LOGISTICS</t>
        </is>
      </c>
      <c r="E64" s="7" t="n">
        <v>304</v>
      </c>
      <c r="F64" s="7" t="n">
        <v>60.8</v>
      </c>
      <c r="G64" s="7" t="n">
        <v>364.8</v>
      </c>
    </row>
    <row r="65">
      <c r="A65" s="2" t="inlineStr">
        <is>
          <t>CONCEPT SECURITE</t>
        </is>
      </c>
      <c r="B65" s="3" t="n">
        <v>45929</v>
      </c>
      <c r="C65" s="2" t="inlineStr">
        <is>
          <t>FA022971</t>
        </is>
      </c>
      <c r="D65" s="2" t="inlineStr">
        <is>
          <t>Fourniture des pose des extincteurs parties communes</t>
        </is>
      </c>
      <c r="E65" s="7" t="n">
        <v>922.0700000000001</v>
      </c>
      <c r="F65" s="7" t="n">
        <v>184.41</v>
      </c>
      <c r="G65" s="7" t="n">
        <v>1106.48</v>
      </c>
    </row>
    <row r="66">
      <c r="A66" s="2" t="inlineStr">
        <is>
          <t>CONCEPT SECURITE</t>
        </is>
      </c>
      <c r="B66" s="3" t="n">
        <v>45936</v>
      </c>
      <c r="C66" s="2" t="inlineStr">
        <is>
          <t>FA023051</t>
        </is>
      </c>
      <c r="D66" s="2" t="inlineStr">
        <is>
          <t>Dépannage porte coupe-feu et porte piétonne</t>
        </is>
      </c>
      <c r="E66" s="7" t="n">
        <v>194</v>
      </c>
      <c r="F66" s="7" t="n">
        <v>38.8</v>
      </c>
      <c r="G66" s="7" t="n">
        <v>232.8</v>
      </c>
    </row>
    <row r="67">
      <c r="A67" s="8" t="inlineStr">
        <is>
          <t xml:space="preserve">    Sous-total — SSI</t>
        </is>
      </c>
      <c r="E67" s="9">
        <f>SUM(E64:E66)</f>
        <v/>
      </c>
      <c r="F67" s="9">
        <f>SUM(F64:F66)</f>
        <v/>
      </c>
      <c r="G67" s="9">
        <f>SUM(G64:G66)</f>
        <v/>
      </c>
    </row>
    <row r="69">
      <c r="A69" s="1" t="inlineStr">
        <is>
          <t xml:space="preserve">  Toitures</t>
        </is>
      </c>
    </row>
    <row r="70">
      <c r="A70" s="2" t="inlineStr">
        <is>
          <t>SIPHOTEC</t>
        </is>
      </c>
      <c r="B70" s="3" t="n">
        <v>45838</v>
      </c>
      <c r="C70" s="2" t="inlineStr">
        <is>
          <t>FE2506737</t>
        </is>
      </c>
      <c r="D70" s="2" t="inlineStr">
        <is>
          <t>ENTRETIEN SIPHOÏDES</t>
        </is>
      </c>
      <c r="E70" s="7" t="n">
        <v>2600</v>
      </c>
      <c r="F70" s="7" t="n">
        <v>520</v>
      </c>
      <c r="G70" s="7" t="n">
        <v>3120</v>
      </c>
    </row>
    <row r="71">
      <c r="A71" s="2" t="inlineStr">
        <is>
          <t>SIPHOTEC</t>
        </is>
      </c>
      <c r="B71" s="3" t="n">
        <v>45961</v>
      </c>
      <c r="C71" s="2" t="inlineStr">
        <is>
          <t>FE2510768</t>
        </is>
      </c>
      <c r="D71" s="2" t="inlineStr">
        <is>
          <t>ENTRETIEN DU SYSTÈME SIPHOIDE</t>
        </is>
      </c>
      <c r="E71" s="7" t="n">
        <v>2600</v>
      </c>
      <c r="F71" s="7" t="n">
        <v>520</v>
      </c>
      <c r="G71" s="7" t="n">
        <v>3120</v>
      </c>
    </row>
    <row r="72">
      <c r="A72" s="2" t="inlineStr">
        <is>
          <t>PROTECTA</t>
        </is>
      </c>
      <c r="B72" s="3" t="n">
        <v>46014</v>
      </c>
      <c r="C72" s="2" t="inlineStr">
        <is>
          <t>FA-45-2025-0564</t>
        </is>
      </c>
      <c r="D72" s="2" t="inlineStr">
        <is>
          <t>VISITE TOITURE / RAPPORT PHOTO</t>
        </is>
      </c>
      <c r="E72" s="7" t="n">
        <v>1125.66</v>
      </c>
      <c r="F72" s="7" t="n">
        <v>225.13</v>
      </c>
      <c r="G72" s="7" t="n">
        <v>1350.79</v>
      </c>
    </row>
    <row r="73">
      <c r="A73" s="8" t="inlineStr">
        <is>
          <t xml:space="preserve">    Sous-total — Toitures</t>
        </is>
      </c>
      <c r="E73" s="9">
        <f>SUM(E70:E72)</f>
        <v/>
      </c>
      <c r="F73" s="9">
        <f>SUM(F70:F72)</f>
        <v/>
      </c>
      <c r="G73" s="9">
        <f>SUM(G70:G72)</f>
        <v/>
      </c>
    </row>
    <row r="75">
      <c r="A75" s="1" t="inlineStr">
        <is>
          <t xml:space="preserve">  SPK / RIA / PI</t>
        </is>
      </c>
    </row>
    <row r="76">
      <c r="A76" s="2" t="inlineStr">
        <is>
          <t>AXIMA</t>
        </is>
      </c>
      <c r="B76" s="3" t="n">
        <v>45750</v>
      </c>
      <c r="C76" s="2" t="inlineStr">
        <is>
          <t>8710250910</t>
        </is>
      </c>
      <c r="D76" s="2" t="inlineStr">
        <is>
          <t>CONTRAT D’ENTRETIEN DE PROTECTION INCENDIE du 21/03/25 au 20/04/25</t>
        </is>
      </c>
      <c r="E76" s="7" t="n">
        <v>2224.33</v>
      </c>
      <c r="F76" s="7" t="n">
        <v>444.87</v>
      </c>
      <c r="G76" s="7" t="n">
        <v>2669.2</v>
      </c>
    </row>
    <row r="77">
      <c r="A77" s="2" t="inlineStr">
        <is>
          <t>AXIMA</t>
        </is>
      </c>
      <c r="B77" s="3" t="n">
        <v>45768</v>
      </c>
      <c r="C77" s="2" t="inlineStr">
        <is>
          <t>8710250911</t>
        </is>
      </c>
      <c r="D77" s="2" t="inlineStr">
        <is>
          <t>CONTRAT D’ENTRETIEN DE PROTECTION INCENDIE du 21/04/25 au 20/05/25</t>
        </is>
      </c>
      <c r="E77" s="7" t="n">
        <v>2224.33</v>
      </c>
      <c r="F77" s="7" t="n">
        <v>444.87</v>
      </c>
      <c r="G77" s="7" t="n">
        <v>2669.2</v>
      </c>
    </row>
    <row r="78">
      <c r="A78" s="2" t="inlineStr">
        <is>
          <t>AXIMA</t>
        </is>
      </c>
      <c r="B78" s="3" t="n">
        <v>45798</v>
      </c>
      <c r="C78" s="2" t="inlineStr">
        <is>
          <t>8710252246</t>
        </is>
      </c>
      <c r="D78" s="2" t="inlineStr">
        <is>
          <t>ENTRETIEN PROTECTION INCENDIE</t>
        </is>
      </c>
      <c r="E78" s="7" t="n">
        <v>2224.33</v>
      </c>
      <c r="F78" s="7" t="n">
        <v>444.87</v>
      </c>
      <c r="G78" s="7" t="n">
        <v>2669.2</v>
      </c>
    </row>
    <row r="79">
      <c r="A79" s="2" t="inlineStr">
        <is>
          <t>AXIMA</t>
        </is>
      </c>
      <c r="B79" s="3" t="n">
        <v>45829</v>
      </c>
      <c r="C79" s="2" t="inlineStr">
        <is>
          <t>8710253747</t>
        </is>
      </c>
      <c r="D79" s="2" t="inlineStr">
        <is>
          <t>ENTRETIEN PROTECTION INCENDIE</t>
        </is>
      </c>
      <c r="E79" s="7" t="n">
        <v>2224.33</v>
      </c>
      <c r="F79" s="7" t="n">
        <v>444.87</v>
      </c>
      <c r="G79" s="7" t="n">
        <v>2669.2</v>
      </c>
    </row>
    <row r="80">
      <c r="A80" s="2" t="inlineStr">
        <is>
          <t>AXIMA</t>
        </is>
      </c>
      <c r="B80" s="3" t="n">
        <v>45864</v>
      </c>
      <c r="C80" s="2" t="inlineStr">
        <is>
          <t>8710255568</t>
        </is>
      </c>
      <c r="D80" s="2" t="inlineStr">
        <is>
          <t>ENTRETIEN PROTECTION INCENDIE</t>
        </is>
      </c>
      <c r="E80" s="7" t="n">
        <v>2224.33</v>
      </c>
      <c r="F80" s="7" t="n">
        <v>444.87</v>
      </c>
      <c r="G80" s="7" t="n">
        <v>2669.2</v>
      </c>
    </row>
    <row r="81">
      <c r="A81" s="2" t="inlineStr">
        <is>
          <t>AXIMA</t>
        </is>
      </c>
      <c r="B81" s="3" t="n">
        <v>45870</v>
      </c>
      <c r="C81" s="2" t="inlineStr">
        <is>
          <t>8710257942</t>
        </is>
      </c>
      <c r="D81" s="2" t="inlineStr">
        <is>
          <t>Fourniture de gasoil - protection incendie</t>
        </is>
      </c>
      <c r="E81" s="7" t="n">
        <v>2656.4</v>
      </c>
      <c r="F81" s="7" t="n">
        <v>531.28</v>
      </c>
      <c r="G81" s="7" t="n">
        <v>3187.68</v>
      </c>
    </row>
    <row r="82">
      <c r="A82" s="2" t="inlineStr">
        <is>
          <t>AXIMA</t>
        </is>
      </c>
      <c r="B82" s="3" t="n">
        <v>45890</v>
      </c>
      <c r="C82" s="2" t="inlineStr">
        <is>
          <t>8710257717</t>
        </is>
      </c>
      <c r="D82" s="2" t="inlineStr">
        <is>
          <t>ENTRETIEN PROTECTION INCENDIE</t>
        </is>
      </c>
      <c r="E82" s="7" t="n">
        <v>2224.33</v>
      </c>
      <c r="F82" s="7" t="n">
        <v>444.87</v>
      </c>
      <c r="G82" s="7" t="n">
        <v>2669.2</v>
      </c>
    </row>
    <row r="83">
      <c r="A83" s="2" t="inlineStr">
        <is>
          <t>AXIMA</t>
        </is>
      </c>
      <c r="B83" s="3" t="n">
        <v>45921</v>
      </c>
      <c r="C83" s="2" t="inlineStr">
        <is>
          <t>8710259036</t>
        </is>
      </c>
      <c r="D83" s="2" t="inlineStr">
        <is>
          <t>ENTRETIEN PROTECTION INCENDIE</t>
        </is>
      </c>
      <c r="E83" s="7" t="n">
        <v>2224.33</v>
      </c>
      <c r="F83" s="7" t="n">
        <v>444.87</v>
      </c>
      <c r="G83" s="7" t="n">
        <v>2669.2</v>
      </c>
    </row>
    <row r="84">
      <c r="A84" s="2" t="inlineStr">
        <is>
          <t>AXIMA</t>
        </is>
      </c>
      <c r="B84" s="3" t="n">
        <v>45951</v>
      </c>
      <c r="C84" s="2" t="inlineStr">
        <is>
          <t>8710260974</t>
        </is>
      </c>
      <c r="D84" s="2" t="inlineStr">
        <is>
          <t>ENTRETIEN PROTECTION INCENDIE</t>
        </is>
      </c>
      <c r="E84" s="7" t="n">
        <v>2224.33</v>
      </c>
      <c r="F84" s="7" t="n">
        <v>444.87</v>
      </c>
      <c r="G84" s="7" t="n">
        <v>2669.2</v>
      </c>
    </row>
    <row r="85">
      <c r="A85" s="2" t="inlineStr">
        <is>
          <t>AXIMA</t>
        </is>
      </c>
      <c r="B85" s="3" t="n">
        <v>45982</v>
      </c>
      <c r="C85" s="2" t="inlineStr">
        <is>
          <t>8710262855</t>
        </is>
      </c>
      <c r="D85" s="2" t="inlineStr">
        <is>
          <t>ENTRETIEN PROTECTION INCENDIE</t>
        </is>
      </c>
      <c r="E85" s="7" t="n">
        <v>2224.33</v>
      </c>
      <c r="F85" s="7" t="n">
        <v>444.87</v>
      </c>
      <c r="G85" s="7" t="n">
        <v>2669.2</v>
      </c>
    </row>
    <row r="86">
      <c r="A86" s="2" t="inlineStr">
        <is>
          <t>AXIMA</t>
        </is>
      </c>
      <c r="B86" s="3" t="n">
        <v>46012</v>
      </c>
      <c r="C86" s="2" t="inlineStr">
        <is>
          <t>8710264942</t>
        </is>
      </c>
      <c r="D86" s="2" t="inlineStr">
        <is>
          <t>CONTRAT D’ENTRETIEN DE PROTECTION INCENDIE du 21/12/25 au 20/01/26</t>
        </is>
      </c>
      <c r="E86" s="7" t="n">
        <v>2224.33</v>
      </c>
      <c r="F86" s="7" t="n">
        <v>444.87</v>
      </c>
      <c r="G86" s="7" t="n">
        <v>2669.2</v>
      </c>
    </row>
    <row r="87">
      <c r="A87" s="8" t="inlineStr">
        <is>
          <t xml:space="preserve">    Sous-total — SPK / RIA / PI</t>
        </is>
      </c>
      <c r="E87" s="9">
        <f>SUM(E76:E86)</f>
        <v/>
      </c>
      <c r="F87" s="9">
        <f>SUM(F76:F86)</f>
        <v/>
      </c>
      <c r="G87" s="9">
        <f>SUM(G76:G86)</f>
        <v/>
      </c>
    </row>
    <row r="89">
      <c r="A89" s="1" t="inlineStr">
        <is>
          <t xml:space="preserve">  Installations électriques</t>
        </is>
      </c>
    </row>
    <row r="90">
      <c r="A90" s="2" t="inlineStr">
        <is>
          <t>OTIS</t>
        </is>
      </c>
      <c r="B90" s="3" t="n">
        <v>45833</v>
      </c>
      <c r="C90" s="2" t="inlineStr">
        <is>
          <t>VOF 8192916</t>
        </is>
      </c>
      <c r="D90" s="2" t="inlineStr">
        <is>
          <t>MAINTENANCE ASCENSEURS MAI JUIN 25</t>
        </is>
      </c>
      <c r="E90" s="7" t="n">
        <v>500</v>
      </c>
      <c r="F90" s="7" t="n">
        <v>100</v>
      </c>
      <c r="G90" s="7" t="n">
        <v>600</v>
      </c>
    </row>
    <row r="91">
      <c r="A91" s="2" t="inlineStr">
        <is>
          <t>OTIS</t>
        </is>
      </c>
      <c r="B91" s="3" t="n">
        <v>45841</v>
      </c>
      <c r="C91" s="2" t="inlineStr">
        <is>
          <t>VOF 8251287</t>
        </is>
      </c>
      <c r="D91" s="2" t="inlineStr">
        <is>
          <t>MAINTENANCE ASCENSEURS T3</t>
        </is>
      </c>
      <c r="E91" s="7" t="n">
        <v>750</v>
      </c>
      <c r="F91" s="7" t="n">
        <v>150</v>
      </c>
      <c r="G91" s="7" t="n">
        <v>900</v>
      </c>
    </row>
    <row r="92">
      <c r="A92" s="2" t="inlineStr">
        <is>
          <t>EIFFAGE</t>
        </is>
      </c>
      <c r="B92" s="3" t="n">
        <v>45833</v>
      </c>
      <c r="C92" s="2" t="inlineStr">
        <is>
          <t>F00190250600306</t>
        </is>
      </c>
      <c r="D92" s="2" t="inlineStr">
        <is>
          <t>Maintenance électricité</t>
        </is>
      </c>
      <c r="E92" s="7" t="n">
        <v>4700</v>
      </c>
      <c r="F92" s="7" t="n">
        <v>940</v>
      </c>
      <c r="G92" s="7" t="n">
        <v>5640</v>
      </c>
    </row>
    <row r="93">
      <c r="A93" s="2" t="inlineStr">
        <is>
          <t>OTIS</t>
        </is>
      </c>
      <c r="B93" s="3" t="n">
        <v>45932</v>
      </c>
      <c r="C93" s="2" t="inlineStr">
        <is>
          <t>VOF 8380322</t>
        </is>
      </c>
      <c r="D93" s="2" t="inlineStr">
        <is>
          <t>Prestations de services Entretien du 01/10/25 au 31/12/25-Ascenceur</t>
        </is>
      </c>
      <c r="E93" s="7" t="n">
        <v>750</v>
      </c>
      <c r="F93" s="7" t="n">
        <v>150</v>
      </c>
      <c r="G93" s="7" t="n">
        <v>900</v>
      </c>
    </row>
    <row r="94">
      <c r="A94" s="8" t="inlineStr">
        <is>
          <t xml:space="preserve">    Sous-total — Installations électriques</t>
        </is>
      </c>
      <c r="E94" s="9">
        <f>SUM(E90:E93)</f>
        <v/>
      </c>
      <c r="F94" s="9">
        <f>SUM(F90:F93)</f>
        <v/>
      </c>
      <c r="G94" s="9">
        <f>SUM(G90:G93)</f>
        <v/>
      </c>
    </row>
    <row r="96">
      <c r="A96" s="1" t="inlineStr">
        <is>
          <t xml:space="preserve">  Protection Foudre</t>
        </is>
      </c>
    </row>
    <row r="97">
      <c r="A97" s="2" t="inlineStr">
        <is>
          <t>Etablissement Renard</t>
        </is>
      </c>
      <c r="B97" s="3" t="n">
        <v>46006</v>
      </c>
      <c r="C97" s="2" t="inlineStr">
        <is>
          <t>2512205</t>
        </is>
      </c>
      <c r="D97" s="2" t="inlineStr">
        <is>
          <t>Contrat de vérification-maintenance protection contre la foudre</t>
        </is>
      </c>
      <c r="E97" s="7" t="n">
        <v>1920</v>
      </c>
      <c r="F97" s="7" t="n">
        <v>384</v>
      </c>
      <c r="G97" s="7" t="n">
        <v>2304</v>
      </c>
    </row>
    <row r="98">
      <c r="A98" s="2" t="inlineStr">
        <is>
          <t>BUREAU VERITAS</t>
        </is>
      </c>
      <c r="C98" s="2" t="inlineStr"/>
      <c r="D98" s="2" t="inlineStr"/>
      <c r="E98" s="7" t="n">
        <v>695</v>
      </c>
      <c r="F98" s="7" t="n">
        <v>139</v>
      </c>
      <c r="G98" s="7" t="n">
        <v>834</v>
      </c>
    </row>
    <row r="99">
      <c r="A99" s="2" t="inlineStr">
        <is>
          <t>BUREAU VERITAS</t>
        </is>
      </c>
      <c r="B99" s="3" t="n">
        <v>45918</v>
      </c>
      <c r="C99" s="2" t="inlineStr">
        <is>
          <t>25546933</t>
        </is>
      </c>
      <c r="D99" s="2" t="inlineStr">
        <is>
          <t>Vérification périodique des installations électriques (Q19)</t>
        </is>
      </c>
      <c r="E99" s="7" t="n">
        <v>695</v>
      </c>
      <c r="F99" s="7" t="n">
        <v>139</v>
      </c>
      <c r="G99" s="7" t="n">
        <v>834</v>
      </c>
    </row>
    <row r="100">
      <c r="A100" s="8" t="inlineStr">
        <is>
          <t xml:space="preserve">    Sous-total — Protection Foudre</t>
        </is>
      </c>
      <c r="E100" s="9">
        <f>SUM(E97:E99)</f>
        <v/>
      </c>
      <c r="F100" s="9">
        <f>SUM(F97:F99)</f>
        <v/>
      </c>
      <c r="G100" s="9">
        <f>SUM(G97:G99)</f>
        <v/>
      </c>
    </row>
    <row r="102">
      <c r="A102" s="1" t="inlineStr">
        <is>
          <t xml:space="preserve">  GTB</t>
        </is>
      </c>
    </row>
    <row r="103">
      <c r="A103" s="2" t="inlineStr">
        <is>
          <t>CN 45</t>
        </is>
      </c>
      <c r="C103" s="2" t="inlineStr"/>
      <c r="D103" s="2" t="inlineStr"/>
      <c r="E103" s="7" t="n">
        <v>514</v>
      </c>
      <c r="F103" s="7" t="n">
        <v>102.8</v>
      </c>
      <c r="G103" s="7" t="n">
        <v>616.8</v>
      </c>
    </row>
    <row r="104">
      <c r="A104" s="2" t="inlineStr">
        <is>
          <t>CN 45</t>
        </is>
      </c>
      <c r="B104" s="3" t="n">
        <v>45835</v>
      </c>
      <c r="C104" s="2" t="inlineStr">
        <is>
          <t>2025/754</t>
        </is>
      </c>
      <c r="D104" s="2" t="inlineStr"/>
      <c r="E104" s="7" t="n">
        <v>514</v>
      </c>
      <c r="F104" s="7" t="n">
        <v>102.8</v>
      </c>
      <c r="G104" s="7" t="n">
        <v>616.8</v>
      </c>
    </row>
    <row r="105">
      <c r="A105" s="2" t="inlineStr">
        <is>
          <t>SOA</t>
        </is>
      </c>
      <c r="C105" s="2" t="inlineStr"/>
      <c r="D105" s="2" t="inlineStr"/>
      <c r="E105" s="7" t="n">
        <v>2577</v>
      </c>
      <c r="F105" s="7" t="n">
        <v>515.4</v>
      </c>
      <c r="G105" s="7" t="n">
        <v>3092.4</v>
      </c>
    </row>
    <row r="106">
      <c r="A106" s="2" t="inlineStr">
        <is>
          <t>SOA</t>
        </is>
      </c>
      <c r="B106" s="3" t="n">
        <v>45956</v>
      </c>
      <c r="C106" s="2" t="inlineStr">
        <is>
          <t>251003937</t>
        </is>
      </c>
      <c r="D106" s="2" t="inlineStr">
        <is>
          <t>Entretien des séparateurs hydrocarbures</t>
        </is>
      </c>
      <c r="E106" s="7" t="n">
        <v>2577</v>
      </c>
      <c r="F106" s="7" t="n">
        <v>515.4</v>
      </c>
      <c r="G106" s="7" t="n">
        <v>3092.4</v>
      </c>
    </row>
    <row r="107">
      <c r="A107" s="2" t="inlineStr">
        <is>
          <t>NEO DB / B27 / BUREAU VERITAS</t>
        </is>
      </c>
      <c r="C107" s="2" t="inlineStr"/>
      <c r="D107" s="2" t="inlineStr"/>
      <c r="E107" s="7" t="n">
        <v>1602.5</v>
      </c>
      <c r="F107" s="7" t="n">
        <v>320.5</v>
      </c>
      <c r="G107" s="7" t="n">
        <v>1923</v>
      </c>
    </row>
    <row r="108">
      <c r="A108" s="2" t="inlineStr">
        <is>
          <t>BUREAU VERITAS</t>
        </is>
      </c>
      <c r="B108" s="3" t="n">
        <v>45859</v>
      </c>
      <c r="C108" s="2" t="inlineStr">
        <is>
          <t>25425847</t>
        </is>
      </c>
      <c r="D108" s="2" t="inlineStr">
        <is>
          <t>CONTRÔLE REJETS CHAUFFERIE ET REJETS ACQUEUX</t>
        </is>
      </c>
      <c r="E108" s="7" t="n">
        <v>1147.5</v>
      </c>
      <c r="F108" s="7" t="n">
        <v>229.5</v>
      </c>
      <c r="G108" s="7" t="n">
        <v>1377</v>
      </c>
    </row>
    <row r="109">
      <c r="A109" s="2" t="inlineStr">
        <is>
          <t>BUREAU VERITAS</t>
        </is>
      </c>
      <c r="B109" s="3" t="n">
        <v>45918</v>
      </c>
      <c r="C109" s="2" t="inlineStr"/>
      <c r="D109" s="2" t="inlineStr">
        <is>
          <t>Vérification périodique des disconnecteurs</t>
        </is>
      </c>
      <c r="E109" s="7" t="n">
        <v>455</v>
      </c>
      <c r="F109" s="7" t="n">
        <v>91</v>
      </c>
      <c r="G109" s="7" t="n">
        <v>546</v>
      </c>
    </row>
    <row r="110">
      <c r="A110" s="8" t="inlineStr">
        <is>
          <t xml:space="preserve">    Sous-total — GTB</t>
        </is>
      </c>
      <c r="E110" s="9">
        <f>SUM(E103:E109)</f>
        <v/>
      </c>
      <c r="F110" s="9">
        <f>SUM(F103:F109)</f>
        <v/>
      </c>
      <c r="G110" s="9">
        <f>SUM(G103:G109)</f>
        <v/>
      </c>
    </row>
    <row r="112">
      <c r="A112" s="1" t="inlineStr">
        <is>
          <t xml:space="preserve">  Détection Gaz</t>
        </is>
      </c>
    </row>
    <row r="113">
      <c r="A113" s="2" t="inlineStr">
        <is>
          <t>BE ATEX</t>
        </is>
      </c>
      <c r="C113" s="2" t="inlineStr">
        <is>
          <t>CC65197</t>
        </is>
      </c>
      <c r="D113" s="2" t="inlineStr">
        <is>
          <t>CONTRÔLE ET VERIFICATION DES EQUIPEMENTS DE DETECTION GAZ FIXES</t>
        </is>
      </c>
      <c r="E113" s="7" t="n">
        <v>344.96</v>
      </c>
      <c r="F113" s="7" t="n">
        <v>68.98999999999999</v>
      </c>
      <c r="G113" s="7" t="n">
        <v>413.95</v>
      </c>
    </row>
    <row r="114">
      <c r="A114" s="2" t="inlineStr">
        <is>
          <t>BE ATEX</t>
        </is>
      </c>
      <c r="B114" s="3" t="n">
        <v>45974</v>
      </c>
      <c r="C114" s="2" t="inlineStr">
        <is>
          <t>FC76885</t>
        </is>
      </c>
      <c r="D114" s="2" t="inlineStr">
        <is>
          <t>CONTRÔLE ET VERIFICATION DES EQUIPEMENTS DE DETECTION GAZ FIXES</t>
        </is>
      </c>
      <c r="E114" s="7" t="n">
        <v>344.96</v>
      </c>
      <c r="F114" s="7" t="n">
        <v>68.98999999999999</v>
      </c>
      <c r="G114" s="7" t="n">
        <v>413.95</v>
      </c>
    </row>
    <row r="115">
      <c r="A115" s="8" t="inlineStr">
        <is>
          <t xml:space="preserve">    Sous-total — Détection Gaz</t>
        </is>
      </c>
      <c r="E115" s="9">
        <f>SUM(E113:E114)</f>
        <v/>
      </c>
      <c r="F115" s="9">
        <f>SUM(F113:F114)</f>
        <v/>
      </c>
      <c r="G115" s="9">
        <f>SUM(G113:G114)</f>
        <v/>
      </c>
    </row>
    <row r="117">
      <c r="A117" s="1" t="inlineStr">
        <is>
          <t xml:space="preserve">  Vérifications règlementaires</t>
        </is>
      </c>
    </row>
    <row r="118">
      <c r="A118" s="8" t="inlineStr">
        <is>
          <t xml:space="preserve">    Sous-total — Vérifications règlementaires</t>
        </is>
      </c>
      <c r="E118" s="9" t="n">
        <v>667.0599999999999</v>
      </c>
    </row>
    <row r="120">
      <c r="A120" s="1" t="inlineStr">
        <is>
          <t xml:space="preserve">  Portails</t>
        </is>
      </c>
    </row>
    <row r="121">
      <c r="A121" s="2" t="inlineStr">
        <is>
          <t>SGC FERMETURE</t>
        </is>
      </c>
      <c r="B121" s="3" t="n">
        <v>45867</v>
      </c>
      <c r="C121" s="2" t="inlineStr">
        <is>
          <t>2994</t>
        </is>
      </c>
      <c r="D121" s="2" t="inlineStr">
        <is>
          <t>ENTRETIEN PORTAILS ET BARRIERES</t>
        </is>
      </c>
      <c r="E121" s="7" t="n">
        <v>333.53</v>
      </c>
      <c r="F121" s="7" t="n">
        <v>66.70999999999999</v>
      </c>
      <c r="G121" s="7" t="n">
        <v>400.24</v>
      </c>
    </row>
    <row r="122">
      <c r="A122" s="8" t="inlineStr">
        <is>
          <t xml:space="preserve">    Sous-total — Portails</t>
        </is>
      </c>
      <c r="E122" s="9">
        <f>SUM(E121:E121)</f>
        <v/>
      </c>
      <c r="F122" s="9">
        <f>SUM(F121:F121)</f>
        <v/>
      </c>
      <c r="G122" s="9">
        <f>SUM(G121:G121)</f>
        <v/>
      </c>
    </row>
    <row r="124">
      <c r="A124" s="6" t="inlineStr">
        <is>
          <t>ASSURANCES + JURIDIQUE</t>
        </is>
      </c>
    </row>
    <row r="125">
      <c r="A125" s="1" t="inlineStr">
        <is>
          <t xml:space="preserve">  Assurances</t>
        </is>
      </c>
    </row>
    <row r="126">
      <c r="A126" s="2" t="inlineStr">
        <is>
          <t>WTW</t>
        </is>
      </c>
      <c r="B126" s="3" t="n">
        <v>45799</v>
      </c>
      <c r="C126" s="2" t="inlineStr"/>
      <c r="D126" s="2" t="inlineStr">
        <is>
          <t>BATIMENT A / 'Du 30 mai 2025 au 29 mai 2026</t>
        </is>
      </c>
      <c r="E126" s="7" t="n">
        <v>40320.47</v>
      </c>
      <c r="G126" s="7" t="n">
        <v>40320.47</v>
      </c>
    </row>
    <row r="127">
      <c r="A127" s="8" t="inlineStr">
        <is>
          <t xml:space="preserve">    Sous-total — Assurances</t>
        </is>
      </c>
      <c r="E127" s="9">
        <f>SUM(E126:E126)</f>
        <v/>
      </c>
      <c r="F127" s="9">
        <f>SUM(F126:F126)</f>
        <v/>
      </c>
      <c r="G127" s="9">
        <f>SUM(G126:G126)</f>
        <v/>
      </c>
    </row>
    <row r="129">
      <c r="A129" s="6" t="inlineStr">
        <is>
          <t>CHARGES NON RECUPERABLES</t>
        </is>
      </c>
    </row>
    <row r="130">
      <c r="A130" s="1" t="inlineStr">
        <is>
          <t xml:space="preserve">  Frais Bancaires</t>
        </is>
      </c>
    </row>
    <row r="131">
      <c r="A131" s="2" t="inlineStr">
        <is>
          <t>Caisse d'épargne</t>
        </is>
      </c>
      <c r="B131" s="3" t="n">
        <v>45839</v>
      </c>
      <c r="C131" s="2" t="inlineStr"/>
      <c r="D131" s="2" t="inlineStr">
        <is>
          <t>COMMISSIONS</t>
        </is>
      </c>
      <c r="E131" s="7" t="n">
        <v>55.77</v>
      </c>
      <c r="G131" s="7" t="n">
        <v>55.77</v>
      </c>
    </row>
    <row r="132">
      <c r="A132" s="2" t="inlineStr">
        <is>
          <t>Caisse d'épargne</t>
        </is>
      </c>
      <c r="B132" s="3" t="n">
        <v>45848</v>
      </c>
      <c r="C132" s="2" t="inlineStr"/>
      <c r="D132" s="2" t="inlineStr">
        <is>
          <t xml:space="preserve">FORFAIT LIBRE DE CONVERGENCE </t>
        </is>
      </c>
      <c r="E132" s="7" t="n">
        <v>75.3</v>
      </c>
      <c r="G132" s="7" t="n">
        <v>75.3</v>
      </c>
    </row>
    <row r="133">
      <c r="A133" s="2" t="inlineStr">
        <is>
          <t>Caisse d'épargne</t>
        </is>
      </c>
      <c r="B133" s="3" t="n">
        <v>45931</v>
      </c>
      <c r="C133" s="2" t="inlineStr"/>
      <c r="D133" s="2" t="inlineStr">
        <is>
          <t>COMMISSIONS</t>
        </is>
      </c>
      <c r="E133" s="7" t="n">
        <v>86.38</v>
      </c>
      <c r="G133" s="7" t="n">
        <v>86.38</v>
      </c>
    </row>
    <row r="134">
      <c r="A134" s="2" t="inlineStr">
        <is>
          <t>Caisse d'épargne</t>
        </is>
      </c>
      <c r="B134" s="3" t="n">
        <v>45939</v>
      </c>
      <c r="C134" s="2" t="inlineStr"/>
      <c r="D134" s="2" t="inlineStr">
        <is>
          <t xml:space="preserve">FORFAIT LIBRE DE CONVERGENCE </t>
        </is>
      </c>
      <c r="E134" s="7" t="n">
        <v>75.3</v>
      </c>
      <c r="G134" s="7" t="n">
        <v>75.3</v>
      </c>
    </row>
    <row r="135">
      <c r="A135" s="8" t="inlineStr">
        <is>
          <t xml:space="preserve">    Sous-total — Frais Bancaires</t>
        </is>
      </c>
      <c r="E135" s="9">
        <f>SUM(E131:E134)</f>
        <v/>
      </c>
      <c r="F135" s="9">
        <f>SUM(F131:F134)</f>
        <v/>
      </c>
      <c r="G135" s="9">
        <f>SUM(G131:G134)</f>
        <v/>
      </c>
    </row>
    <row r="137">
      <c r="A137" s="6" t="inlineStr">
        <is>
          <t>TOTAL — FLUIDES</t>
        </is>
      </c>
      <c r="E137" s="10">
        <f>E11+E23+E35</f>
        <v/>
      </c>
    </row>
    <row r="139">
      <c r="A139" s="6" t="inlineStr">
        <is>
          <t>TOTAL — TRAVAUX</t>
        </is>
      </c>
      <c r="E139" s="10">
        <f>E41</f>
        <v/>
      </c>
    </row>
    <row r="141">
      <c r="A141" s="6" t="inlineStr">
        <is>
          <t>TOTAL — CONTRAT MAINTENANCE</t>
        </is>
      </c>
      <c r="E141" s="10">
        <f>E51+E56+E61+E67+E73+E87+E94+E100+E110+E115+E118+E122</f>
        <v/>
      </c>
    </row>
    <row r="143">
      <c r="A143" s="6" t="inlineStr">
        <is>
          <t>TOTAL — ASSURANCES + JURIDIQUE</t>
        </is>
      </c>
      <c r="E143" s="10">
        <f>E127</f>
        <v/>
      </c>
    </row>
    <row r="145">
      <c r="A145" s="6" t="inlineStr">
        <is>
          <t>TOTAL — CHARGES NON RECUPERABLES</t>
        </is>
      </c>
      <c r="E145" s="10">
        <f>E135</f>
        <v/>
      </c>
    </row>
    <row r="147">
      <c r="A147" s="6" t="inlineStr">
        <is>
          <t>TOTAL GÉNÉRAL — CHARGES RÉCUPÉRABLES</t>
        </is>
      </c>
      <c r="E147" s="10">
        <f>E137+E139+E141+E143</f>
        <v/>
      </c>
    </row>
  </sheetData>
  <mergeCells count="49">
    <mergeCell ref="A23:D23"/>
    <mergeCell ref="A141:D141"/>
    <mergeCell ref="A122:D122"/>
    <mergeCell ref="A135:D135"/>
    <mergeCell ref="A35:D35"/>
    <mergeCell ref="A53:G53"/>
    <mergeCell ref="A100:D100"/>
    <mergeCell ref="A147:D147"/>
    <mergeCell ref="A38:G38"/>
    <mergeCell ref="A96:G96"/>
    <mergeCell ref="A125:G125"/>
    <mergeCell ref="A43:G43"/>
    <mergeCell ref="A112:G112"/>
    <mergeCell ref="A115:D115"/>
    <mergeCell ref="A63:G63"/>
    <mergeCell ref="A117:G117"/>
    <mergeCell ref="A13:G13"/>
    <mergeCell ref="A44:G44"/>
    <mergeCell ref="A58:G58"/>
    <mergeCell ref="A67:D67"/>
    <mergeCell ref="A102:G102"/>
    <mergeCell ref="A127:D127"/>
    <mergeCell ref="A143:D143"/>
    <mergeCell ref="A130:G130"/>
    <mergeCell ref="A73:D73"/>
    <mergeCell ref="A51:D51"/>
    <mergeCell ref="A11:D11"/>
    <mergeCell ref="A94:D94"/>
    <mergeCell ref="A110:D110"/>
    <mergeCell ref="A1:G1"/>
    <mergeCell ref="A61:D61"/>
    <mergeCell ref="A124:G124"/>
    <mergeCell ref="A6:G6"/>
    <mergeCell ref="A69:G69"/>
    <mergeCell ref="A87:D87"/>
    <mergeCell ref="A41:D41"/>
    <mergeCell ref="A25:G25"/>
    <mergeCell ref="A137:D137"/>
    <mergeCell ref="A37:G37"/>
    <mergeCell ref="A75:G75"/>
    <mergeCell ref="A118:D118"/>
    <mergeCell ref="A89:G89"/>
    <mergeCell ref="A56:D56"/>
    <mergeCell ref="A120:G120"/>
    <mergeCell ref="A145:D145"/>
    <mergeCell ref="A139:D139"/>
    <mergeCell ref="A2:G2"/>
    <mergeCell ref="A129:G129"/>
    <mergeCell ref="A5:G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</cols>
  <sheetData>
    <row r="1">
      <c r="A1" s="4" t="inlineStr">
        <is>
          <t>RÉGULARISATION DE CHARGES — C1 C2</t>
        </is>
      </c>
    </row>
    <row r="2">
      <c r="A2" s="2" t="inlineStr">
        <is>
          <t xml:space="preserve">Site : ORMES A  |  Année 2025  |  Lot : C1 C2  |  Surface lot C1 C2 : 9623.0 m²  |  </t>
        </is>
      </c>
    </row>
    <row r="3">
      <c r="A3" s="2">
        <f>Paramètres!$B$5&amp;" — "&amp;Paramètres!$E$5</f>
        <v/>
      </c>
    </row>
    <row r="5" ht="32" customHeight="1">
      <c r="A5" s="5" t="inlineStr">
        <is>
          <t>Poste de charges</t>
        </is>
      </c>
      <c r="B5" s="5" t="inlineStr">
        <is>
          <t>Clé de
répartition</t>
        </is>
      </c>
      <c r="C5" s="5" t="inlineStr">
        <is>
          <t>Total site
HT (€)</t>
        </is>
      </c>
      <c r="D5" s="5" t="inlineStr">
        <is>
          <t>QP annuelle
(€ HT)</t>
        </is>
      </c>
      <c r="E5" s="5" t="inlineStr">
        <is>
          <t>Période
(prorata)</t>
        </is>
      </c>
      <c r="F5" s="5" t="inlineStr">
        <is>
          <t>QP locataire
(€ HT)</t>
        </is>
      </c>
    </row>
    <row r="6" ht="18" customHeight="1">
      <c r="A6" s="6" t="inlineStr">
        <is>
          <t>FLUIDES</t>
        </is>
      </c>
    </row>
    <row r="7">
      <c r="A7" s="2" t="inlineStr">
        <is>
          <t xml:space="preserve">  Eau</t>
        </is>
      </c>
      <c r="B7" s="11">
        <f>(Paramètres!$C$5/Paramètres!$C$2)</f>
        <v/>
      </c>
      <c r="C7" s="12">
        <f>'Récapitulatif 2025'!E11</f>
        <v/>
      </c>
      <c r="D7" s="7">
        <f>B7*C7</f>
        <v/>
      </c>
      <c r="E7" s="13">
        <f>MAX(0,MIN(DATE(2025,12,31),IF(Paramètres!$I$5&gt;0,Paramètres!$I$5,DATE(2025,12,31)))-MAX(DATE(2025,1,1),IF(Paramètres!$H$5&gt;0,Paramètres!$H$5,DATE(2025,1,1)))+1)/365</f>
        <v/>
      </c>
      <c r="F7" s="7">
        <f>D7*E7</f>
        <v/>
      </c>
    </row>
    <row r="8">
      <c r="A8" s="2" t="inlineStr">
        <is>
          <t xml:space="preserve">  Electricité</t>
        </is>
      </c>
      <c r="B8" s="11">
        <f>(Paramètres!$C$5/Paramètres!$C$2)</f>
        <v/>
      </c>
      <c r="C8" s="12">
        <f>'Récapitulatif 2025'!E23</f>
        <v/>
      </c>
      <c r="D8" s="7">
        <f>B8*C8</f>
        <v/>
      </c>
      <c r="E8" s="13">
        <f>MAX(0,MIN(DATE(2025,12,31),IF(Paramètres!$I$5&gt;0,Paramètres!$I$5,DATE(2025,12,31)))-MAX(DATE(2025,1,1),IF(Paramètres!$H$5&gt;0,Paramètres!$H$5,DATE(2025,1,1)))+1)/365</f>
        <v/>
      </c>
      <c r="F8" s="7">
        <f>D8*E8</f>
        <v/>
      </c>
    </row>
    <row r="9">
      <c r="A9" s="2" t="inlineStr">
        <is>
          <t xml:space="preserve">  Gaz</t>
        </is>
      </c>
      <c r="B9" s="11">
        <f>(Paramètres!$C$5/Paramètres!$C$2)</f>
        <v/>
      </c>
      <c r="C9" s="12">
        <f>'Récapitulatif 2025'!E35</f>
        <v/>
      </c>
      <c r="D9" s="7">
        <f>B9*C9</f>
        <v/>
      </c>
      <c r="E9" s="13">
        <f>MAX(0,MIN(DATE(2025,12,31),IF(Paramètres!$I$5&gt;0,Paramètres!$I$5,DATE(2025,12,31)))-MAX(DATE(2025,1,1),IF(Paramètres!$H$5&gt;0,Paramètres!$H$5,DATE(2025,1,1)))+1)/365</f>
        <v/>
      </c>
      <c r="F9" s="7">
        <f>D9*E9</f>
        <v/>
      </c>
    </row>
    <row r="10" ht="18" customHeight="1">
      <c r="A10" s="6" t="inlineStr">
        <is>
          <t>TRAVAUX</t>
        </is>
      </c>
    </row>
    <row r="11">
      <c r="A11" s="2" t="inlineStr">
        <is>
          <t xml:space="preserve">  Entretien Courant</t>
        </is>
      </c>
      <c r="B11" s="11">
        <f>(Paramètres!$C$5/Paramètres!$C$2)</f>
        <v/>
      </c>
      <c r="C11" s="12">
        <f>'Récapitulatif 2025'!E41</f>
        <v/>
      </c>
      <c r="D11" s="7">
        <f>B11*C11</f>
        <v/>
      </c>
      <c r="E11" s="13">
        <f>MAX(0,MIN(DATE(2025,12,31),IF(Paramètres!$I$5&gt;0,Paramètres!$I$5,DATE(2025,12,31)))-MAX(DATE(2025,1,1),IF(Paramètres!$F$5&gt;0,Paramètres!$F$5,DATE(2025,1,1)))+1)/365</f>
        <v/>
      </c>
      <c r="F11" s="7">
        <f>D11*E11</f>
        <v/>
      </c>
    </row>
    <row r="12" ht="18" customHeight="1">
      <c r="A12" s="6" t="inlineStr">
        <is>
          <t>CONTRAT MAINTENANCE</t>
        </is>
      </c>
    </row>
    <row r="13">
      <c r="A13" s="2" t="inlineStr">
        <is>
          <t xml:space="preserve">  Espaces Verts</t>
        </is>
      </c>
      <c r="B13" s="11">
        <f>(Paramètres!$C$5/Paramètres!$C$2)</f>
        <v/>
      </c>
      <c r="C13" s="12">
        <f>'Récapitulatif 2025'!E51</f>
        <v/>
      </c>
      <c r="D13" s="7">
        <f>B13*C13</f>
        <v/>
      </c>
      <c r="E13" s="13">
        <f>MAX(0,MIN(DATE(2025,12,31),IF(Paramètres!$I$5&gt;0,Paramètres!$I$5,DATE(2025,12,31)))-MAX(DATE(2025,1,1),IF(Paramètres!$F$5&gt;0,Paramètres!$F$5,DATE(2025,1,1)))+1)/365</f>
        <v/>
      </c>
      <c r="F13" s="7">
        <f>D13*E13</f>
        <v/>
      </c>
    </row>
    <row r="14">
      <c r="A14" s="2" t="inlineStr">
        <is>
          <t xml:space="preserve">  CVC</t>
        </is>
      </c>
      <c r="B14" s="11">
        <f>(Paramètres!$C$5/Paramètres!$C$2)</f>
        <v/>
      </c>
      <c r="C14" s="12">
        <f>'Récapitulatif 2025'!E56</f>
        <v/>
      </c>
      <c r="D14" s="7">
        <f>B14*C14</f>
        <v/>
      </c>
      <c r="E14" s="13">
        <f>MAX(0,MIN(DATE(2025,12,31),IF(Paramètres!$I$5&gt;0,Paramètres!$I$5,DATE(2025,12,31)))-MAX(DATE(2025,1,1),IF(Paramètres!$F$5&gt;0,Paramètres!$F$5,DATE(2025,1,1)))+1)/365</f>
        <v/>
      </c>
      <c r="F14" s="7">
        <f>D14*E14</f>
        <v/>
      </c>
    </row>
    <row r="15">
      <c r="A15" s="2" t="inlineStr">
        <is>
          <t xml:space="preserve">  Sécurité</t>
        </is>
      </c>
      <c r="B15" s="11">
        <f>(Paramètres!$C$5/Paramètres!$C$2)</f>
        <v/>
      </c>
      <c r="C15" s="12">
        <f>'Récapitulatif 2025'!E61</f>
        <v/>
      </c>
      <c r="D15" s="7">
        <f>B15*C15</f>
        <v/>
      </c>
      <c r="E15" s="13">
        <f>MAX(0,MIN(DATE(2025,12,31),IF(Paramètres!$I$5&gt;0,Paramètres!$I$5,DATE(2025,12,31)))-MAX(DATE(2025,1,1),IF(Paramètres!$F$5&gt;0,Paramètres!$F$5,DATE(2025,1,1)))+1)/365</f>
        <v/>
      </c>
      <c r="F15" s="7">
        <f>D15*E15</f>
        <v/>
      </c>
    </row>
    <row r="16">
      <c r="A16" s="2" t="inlineStr">
        <is>
          <t xml:space="preserve">  SSI</t>
        </is>
      </c>
      <c r="B16" s="11">
        <f>(Paramètres!$C$5/Paramètres!$C$2)</f>
        <v/>
      </c>
      <c r="C16" s="12">
        <f>'Récapitulatif 2025'!E67</f>
        <v/>
      </c>
      <c r="D16" s="7">
        <f>B16*C16</f>
        <v/>
      </c>
      <c r="E16" s="13">
        <f>MAX(0,MIN(DATE(2025,12,31),IF(Paramètres!$I$5&gt;0,Paramètres!$I$5,DATE(2025,12,31)))-MAX(DATE(2025,1,1),IF(Paramètres!$F$5&gt;0,Paramètres!$F$5,DATE(2025,1,1)))+1)/365</f>
        <v/>
      </c>
      <c r="F16" s="7">
        <f>D16*E16</f>
        <v/>
      </c>
    </row>
    <row r="17">
      <c r="A17" s="2" t="inlineStr">
        <is>
          <t xml:space="preserve">  Toitures</t>
        </is>
      </c>
      <c r="B17" s="11">
        <f>(Paramètres!$C$5/Paramètres!$C$2)</f>
        <v/>
      </c>
      <c r="C17" s="12">
        <f>'Récapitulatif 2025'!E73</f>
        <v/>
      </c>
      <c r="D17" s="7">
        <f>B17*C17</f>
        <v/>
      </c>
      <c r="E17" s="13">
        <f>MAX(0,MIN(DATE(2025,12,31),IF(Paramètres!$I$5&gt;0,Paramètres!$I$5,DATE(2025,12,31)))-MAX(DATE(2025,1,1),IF(Paramètres!$F$5&gt;0,Paramètres!$F$5,DATE(2025,1,1)))+1)/365</f>
        <v/>
      </c>
      <c r="F17" s="7">
        <f>D17*E17</f>
        <v/>
      </c>
    </row>
    <row r="18">
      <c r="A18" s="2" t="inlineStr">
        <is>
          <t xml:space="preserve">  SPK / RIA / PI</t>
        </is>
      </c>
      <c r="B18" s="11">
        <f>(Paramètres!$C$5/Paramètres!$C$2)</f>
        <v/>
      </c>
      <c r="C18" s="12">
        <f>'Récapitulatif 2025'!E87</f>
        <v/>
      </c>
      <c r="D18" s="7">
        <f>B18*C18</f>
        <v/>
      </c>
      <c r="E18" s="13">
        <f>MAX(0,MIN(DATE(2025,12,31),IF(Paramètres!$I$5&gt;0,Paramètres!$I$5,DATE(2025,12,31)))-MAX(DATE(2025,1,1),IF(Paramètres!$F$5&gt;0,Paramètres!$F$5,DATE(2025,1,1)))+1)/365</f>
        <v/>
      </c>
      <c r="F18" s="7">
        <f>D18*E18</f>
        <v/>
      </c>
    </row>
    <row r="19">
      <c r="A19" s="2" t="inlineStr">
        <is>
          <t xml:space="preserve">  Installations électriques</t>
        </is>
      </c>
      <c r="B19" s="11">
        <f>(Paramètres!$C$5/35730.0)</f>
        <v/>
      </c>
      <c r="C19" s="12">
        <f>'Récapitulatif 2025'!E94</f>
        <v/>
      </c>
      <c r="D19" s="7">
        <f>B19*C19</f>
        <v/>
      </c>
      <c r="E19" s="13">
        <f>MAX(0,MIN(DATE(2025,12,31),IF(Paramètres!$I$5&gt;0,Paramètres!$I$5,DATE(2025,12,31)))-MAX(DATE(2025,1,1),IF(Paramètres!$F$5&gt;0,Paramètres!$F$5,DATE(2025,1,1)))+1)/365</f>
        <v/>
      </c>
      <c r="F19" s="7">
        <f>D19*E19</f>
        <v/>
      </c>
    </row>
    <row r="20">
      <c r="A20" s="2" t="inlineStr">
        <is>
          <t xml:space="preserve">  Protection Foudre</t>
        </is>
      </c>
      <c r="B20" s="11">
        <f>(Paramètres!$C$5/23820.0)</f>
        <v/>
      </c>
      <c r="C20" s="12">
        <f>'Récapitulatif 2025'!E100</f>
        <v/>
      </c>
      <c r="D20" s="7">
        <f>B20*C20</f>
        <v/>
      </c>
      <c r="E20" s="13">
        <f>MAX(0,MIN(DATE(2025,12,31),IF(Paramètres!$I$5&gt;0,Paramètres!$I$5,DATE(2025,12,31)))-MAX(DATE(2025,1,1),IF(Paramètres!$F$5&gt;0,Paramètres!$F$5,DATE(2025,1,1)))+1)/365</f>
        <v/>
      </c>
      <c r="F20" s="7">
        <f>D20*E20</f>
        <v/>
      </c>
    </row>
    <row r="21">
      <c r="A21" s="2" t="inlineStr">
        <is>
          <t xml:space="preserve">  GTB</t>
        </is>
      </c>
      <c r="B21" s="11">
        <f>(Paramètres!$C$5/Paramètres!$C$2)</f>
        <v/>
      </c>
      <c r="C21" s="12">
        <f>'Récapitulatif 2025'!E110</f>
        <v/>
      </c>
      <c r="D21" s="7">
        <f>B21*C21</f>
        <v/>
      </c>
      <c r="E21" s="13">
        <f>MAX(0,MIN(DATE(2025,12,31),IF(Paramètres!$I$5&gt;0,Paramètres!$I$5,DATE(2025,12,31)))-MAX(DATE(2025,1,1),IF(Paramètres!$F$5&gt;0,Paramètres!$F$5,DATE(2025,1,1)))+1)/365</f>
        <v/>
      </c>
      <c r="F21" s="7">
        <f>D21*E21</f>
        <v/>
      </c>
    </row>
    <row r="22">
      <c r="A22" s="2" t="inlineStr">
        <is>
          <t xml:space="preserve">  Détection Gaz</t>
        </is>
      </c>
      <c r="B22" s="11">
        <f>(Paramètres!$C$5/Paramètres!$C$2)</f>
        <v/>
      </c>
      <c r="C22" s="12">
        <f>'Récapitulatif 2025'!E115</f>
        <v/>
      </c>
      <c r="D22" s="7">
        <f>B22*C22</f>
        <v/>
      </c>
      <c r="E22" s="13">
        <f>MAX(0,MIN(DATE(2025,12,31),IF(Paramètres!$I$5&gt;0,Paramètres!$I$5,DATE(2025,12,31)))-MAX(DATE(2025,1,1),IF(Paramètres!$F$5&gt;0,Paramètres!$F$5,DATE(2025,1,1)))+1)/365</f>
        <v/>
      </c>
      <c r="F22" s="7">
        <f>D22*E22</f>
        <v/>
      </c>
    </row>
    <row r="23">
      <c r="A23" s="2" t="inlineStr">
        <is>
          <t xml:space="preserve">  Vérifications règlementaires</t>
        </is>
      </c>
      <c r="B23" s="11">
        <f>(Paramètres!$C$5/19945.0)</f>
        <v/>
      </c>
      <c r="C23" s="12">
        <f>'Récapitulatif 2025'!E118</f>
        <v/>
      </c>
      <c r="D23" s="7">
        <f>B23*C23</f>
        <v/>
      </c>
      <c r="E23" s="13">
        <f>MAX(0,MIN(DATE(2025,12,31),IF(Paramètres!$I$5&gt;0,Paramètres!$I$5,DATE(2025,12,31)))-MAX(DATE(2025,1,1),IF(Paramètres!$F$5&gt;0,Paramètres!$F$5,DATE(2025,1,1)))+1)/365</f>
        <v/>
      </c>
      <c r="F23" s="7">
        <f>D23*E23</f>
        <v/>
      </c>
    </row>
    <row r="24">
      <c r="A24" s="2" t="inlineStr">
        <is>
          <t xml:space="preserve">  Portails</t>
        </is>
      </c>
      <c r="B24" s="11">
        <f>(Paramètres!$C$5/Paramètres!$C$2)</f>
        <v/>
      </c>
      <c r="C24" s="12">
        <f>'Récapitulatif 2025'!E122</f>
        <v/>
      </c>
      <c r="D24" s="7">
        <f>B24*C24</f>
        <v/>
      </c>
      <c r="E24" s="13">
        <f>MAX(0,MIN(DATE(2025,12,31),IF(Paramètres!$I$5&gt;0,Paramètres!$I$5,DATE(2025,12,31)))-MAX(DATE(2025,1,1),IF(Paramètres!$F$5&gt;0,Paramètres!$F$5,DATE(2025,1,1)))+1)/365</f>
        <v/>
      </c>
      <c r="F24" s="7">
        <f>D24*E24</f>
        <v/>
      </c>
    </row>
    <row r="25" ht="18" customHeight="1">
      <c r="A25" s="6" t="inlineStr">
        <is>
          <t>ASSURANCES + JURIDIQUE</t>
        </is>
      </c>
    </row>
    <row r="26">
      <c r="A26" s="2" t="inlineStr">
        <is>
          <t xml:space="preserve">  Assurances</t>
        </is>
      </c>
      <c r="B26" s="11">
        <f>(Paramètres!$C$5/Paramètres!$C$2)</f>
        <v/>
      </c>
      <c r="C26" s="12">
        <f>'Récapitulatif 2025'!E127</f>
        <v/>
      </c>
      <c r="D26" s="7">
        <f>B26*C26</f>
        <v/>
      </c>
      <c r="E26" s="13">
        <f>MAX(0,MIN(DATE(2025,12,31),IF(Paramètres!$I$5&gt;0,Paramètres!$I$5,DATE(2025,12,31)))-MAX(DATE(2025,1,1),IF(Paramètres!$F$5&gt;0,Paramètres!$F$5,DATE(2025,1,1)))+1)/365</f>
        <v/>
      </c>
      <c r="F26" s="7">
        <f>D26*E26</f>
        <v/>
      </c>
    </row>
    <row r="28">
      <c r="A28" s="8" t="inlineStr">
        <is>
          <t>Sous-total FLUIDES</t>
        </is>
      </c>
      <c r="C28" s="9">
        <f>SUM(C7:C9)</f>
        <v/>
      </c>
      <c r="D28" s="9">
        <f>SUM(D7:D9)</f>
        <v/>
      </c>
      <c r="E28" s="9" t="n"/>
      <c r="F28" s="9">
        <f>SUM(F7:F9)</f>
        <v/>
      </c>
    </row>
    <row r="29">
      <c r="A29" s="8" t="inlineStr">
        <is>
          <t>Sous-total TRAVAUX</t>
        </is>
      </c>
      <c r="C29" s="9">
        <f>SUM(C11:C11)</f>
        <v/>
      </c>
      <c r="D29" s="9">
        <f>SUM(D11:D11)</f>
        <v/>
      </c>
      <c r="E29" s="9" t="n"/>
      <c r="F29" s="9">
        <f>SUM(F11:F11)</f>
        <v/>
      </c>
    </row>
    <row r="30">
      <c r="A30" s="8" t="inlineStr">
        <is>
          <t>Sous-total CONTRAT MAINTENANCE</t>
        </is>
      </c>
      <c r="C30" s="9">
        <f>SUM(C13:C24)</f>
        <v/>
      </c>
      <c r="D30" s="9">
        <f>SUM(D13:D24)</f>
        <v/>
      </c>
      <c r="E30" s="9" t="n"/>
      <c r="F30" s="9">
        <f>SUM(F13:F24)</f>
        <v/>
      </c>
    </row>
    <row r="31">
      <c r="A31" s="8" t="inlineStr">
        <is>
          <t>Sous-total ASSURANCES + JURIDIQUE</t>
        </is>
      </c>
      <c r="C31" s="9">
        <f>SUM(C26:C26)</f>
        <v/>
      </c>
      <c r="D31" s="9">
        <f>SUM(D26:D26)</f>
        <v/>
      </c>
      <c r="E31" s="9" t="n"/>
      <c r="F31" s="9">
        <f>SUM(F26:F26)</f>
        <v/>
      </c>
    </row>
    <row r="33">
      <c r="A33" s="1" t="inlineStr">
        <is>
          <t>TOTAL CHARGES RÉCUPÉRABLES RÉELLES (€ HT)</t>
        </is>
      </c>
      <c r="D33" s="14">
        <f>D28+D29+D30+D31</f>
        <v/>
      </c>
      <c r="F33" s="14">
        <f>F28+F29+F30+F31</f>
        <v/>
      </c>
    </row>
    <row r="35">
      <c r="A35" s="1" t="inlineStr">
        <is>
          <t>Provisions pour charges versées</t>
        </is>
      </c>
      <c r="C35" s="1" t="inlineStr">
        <is>
          <t>Montant (€)</t>
        </is>
      </c>
      <c r="F35" s="1" t="inlineStr">
        <is>
          <t>Montant (€)</t>
        </is>
      </c>
    </row>
    <row r="36">
      <c r="A36" s="2" t="inlineStr">
        <is>
          <t xml:space="preserve">  1er trimestre (T1)</t>
        </is>
      </c>
      <c r="C36" s="7" t="n">
        <v>2990.6</v>
      </c>
      <c r="F36" s="7" t="n">
        <v>2990.6</v>
      </c>
    </row>
    <row r="37">
      <c r="A37" s="2" t="inlineStr">
        <is>
          <t xml:space="preserve">  2e trimestre (T2)</t>
        </is>
      </c>
      <c r="C37" s="7" t="n">
        <v>25284.11</v>
      </c>
      <c r="F37" s="7" t="n">
        <v>25284.11</v>
      </c>
    </row>
    <row r="38">
      <c r="A38" s="2" t="inlineStr">
        <is>
          <t xml:space="preserve">  3e trimestre (T3)</t>
        </is>
      </c>
      <c r="C38" s="7" t="n">
        <v>28376.42</v>
      </c>
      <c r="F38" s="7" t="n">
        <v>28376.42</v>
      </c>
    </row>
    <row r="39">
      <c r="A39" s="2" t="inlineStr">
        <is>
          <t xml:space="preserve">  4e trimestre (T4)</t>
        </is>
      </c>
      <c r="C39" s="7" t="n">
        <v>28376.42</v>
      </c>
      <c r="F39" s="7" t="n">
        <v>28376.42</v>
      </c>
    </row>
    <row r="40">
      <c r="A40" s="1" t="inlineStr">
        <is>
          <t>Total provisions pour charges versées →</t>
        </is>
      </c>
      <c r="C40" s="15">
        <f>SUM(C36:C39)</f>
        <v/>
      </c>
      <c r="F40" s="15">
        <f>SUM(F36:F39)</f>
        <v/>
      </c>
    </row>
    <row r="42">
      <c r="A42" s="1">
        <f>IF(F33-F40&gt;0,"SOLDE DÉBITEUR","SOLDE CRÉDITEUR")</f>
        <v/>
      </c>
      <c r="D42" s="14">
        <f>D33-D40</f>
        <v/>
      </c>
      <c r="F42" s="14">
        <f>F33-F40</f>
        <v/>
      </c>
    </row>
  </sheetData>
  <mergeCells count="18">
    <mergeCell ref="A2:F2"/>
    <mergeCell ref="A30:B30"/>
    <mergeCell ref="A10:F10"/>
    <mergeCell ref="A33:C33"/>
    <mergeCell ref="A29:B29"/>
    <mergeCell ref="A38:B38"/>
    <mergeCell ref="A1:F1"/>
    <mergeCell ref="A28:B28"/>
    <mergeCell ref="A37:B37"/>
    <mergeCell ref="A6:F6"/>
    <mergeCell ref="A36:B36"/>
    <mergeCell ref="A12:F12"/>
    <mergeCell ref="A40:B40"/>
    <mergeCell ref="A3:F3"/>
    <mergeCell ref="A31:B31"/>
    <mergeCell ref="A39:B39"/>
    <mergeCell ref="A25:F25"/>
    <mergeCell ref="A35:B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2026-05-07T11:39:06Z</dcterms:created>
  <dcterms:modified xsi:type="dcterms:W3CDTF">2026-05-07T11:39:06Z</dcterms:modified>
</cp:coreProperties>
</file>