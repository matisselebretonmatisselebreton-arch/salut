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capitulatif 2025" sheetId="1" state="visible" r:id="rId1"/>
    <sheet name="Paramètres" sheetId="2" state="visible" r:id="rId2"/>
    <sheet name="C1 C2" sheetId="3" state="visible" r:id="rId3"/>
    <sheet name="C3 C4 C5" sheetId="4" state="visible" r:id="rId4"/>
    <sheet name="Vacance Locat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&quot; €&quot;"/>
    <numFmt numFmtId="165" formatCode="yyyy-mm-dd h:mm:ss"/>
    <numFmt numFmtId="166" formatCode="DD/MM/YYYY"/>
    <numFmt numFmtId="167" formatCode="yyyy-mm-dd"/>
    <numFmt numFmtId="168" formatCode="0.0000"/>
    <numFmt numFmtId="169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1B3A6B"/>
      <sz val="9"/>
    </font>
    <font>
      <name val="Calibri"/>
      <b val="1"/>
      <color rgb="00FFFFFF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B3A6B"/>
      <sz val="9"/>
    </font>
    <font>
      <name val="Calibri"/>
      <color rgb="00AAAAAA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444444"/>
      <sz val="9"/>
    </font>
    <font>
      <name val="Calibri"/>
      <b val="1"/>
      <color rgb="00FFFFFF"/>
      <sz val="12"/>
    </font>
    <font>
      <name val="Calibri"/>
      <color rgb="00222222"/>
      <sz val="9"/>
    </font>
    <font>
      <name val="Calibri"/>
      <color rgb="00666666"/>
      <sz val="8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D0DDEF"/>
      </patternFill>
    </fill>
    <fill>
      <patternFill patternType="solid">
        <fgColor rgb="FF2E5FA3"/>
      </patternFill>
    </fill>
    <fill>
      <patternFill patternType="solid">
        <fgColor rgb="FFF2F4F8"/>
      </patternFill>
    </fill>
    <fill>
      <patternFill patternType="solid">
        <fgColor rgb="FFD5F5E3"/>
      </patternFill>
    </fill>
    <fill>
      <patternFill patternType="solid">
        <fgColor rgb="FFFDECEA"/>
      </patternFill>
    </fill>
    <fill>
      <patternFill patternType="solid">
        <fgColor rgb="FFE64A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right" vertical="center"/>
    </xf>
    <xf numFmtId="166" fontId="5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164" fontId="6" fillId="3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left" vertical="center"/>
    </xf>
    <xf numFmtId="0" fontId="0" fillId="5" borderId="0" pivotButton="0" quotePrefix="0" xfId="0"/>
    <xf numFmtId="164" fontId="4" fillId="4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164" fontId="8" fillId="2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6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1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0" borderId="0" applyAlignment="1" pivotButton="0" quotePrefix="0" xfId="0">
      <alignment horizontal="right" vertical="center"/>
    </xf>
    <xf numFmtId="168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4" borderId="0" pivotButton="0" quotePrefix="0" xfId="0"/>
    <xf numFmtId="0" fontId="8" fillId="4" borderId="0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1" fontId="6" fillId="3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164" fontId="4" fillId="8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left" vertical="center"/>
    </xf>
    <xf numFmtId="164" fontId="14" fillId="2" borderId="0" applyAlignment="1" pivotButton="0" quotePrefix="0" xfId="0">
      <alignment horizontal="right" vertical="center"/>
    </xf>
    <xf numFmtId="169" fontId="6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22" customWidth="1" min="3" max="3"/>
    <col width="45" customWidth="1" min="4" max="4"/>
    <col width="14" customWidth="1" min="5" max="5"/>
    <col width="12" customWidth="1" min="6" max="6"/>
    <col width="14" customWidth="1" min="7" max="7"/>
  </cols>
  <sheetData>
    <row r="1" ht="27.75" customHeight="1">
      <c r="A1" s="1" t="inlineStr">
        <is>
          <t>ORMES A — RÉCAPITULATIF DES CHARGES 2025</t>
        </is>
      </c>
    </row>
    <row r="2" ht="15.8" customHeight="1">
      <c r="A2" s="2" t="inlineStr">
        <is>
          <t>Site : ORMES A  |  Période : 01/01/2025 – 31/12/2025</t>
        </is>
      </c>
    </row>
    <row r="3" ht="19.55" customHeight="1">
      <c r="A3" s="3" t="inlineStr">
        <is>
          <t>Fournisseur</t>
        </is>
      </c>
      <c r="B3" s="3" t="inlineStr">
        <is>
          <t>Date facture</t>
        </is>
      </c>
      <c r="C3" s="3" t="inlineStr">
        <is>
          <t>N° facture</t>
        </is>
      </c>
      <c r="D3" s="3" t="inlineStr">
        <is>
          <t>Description</t>
        </is>
      </c>
      <c r="E3" s="3" t="inlineStr">
        <is>
          <t>Montant HT (€)</t>
        </is>
      </c>
      <c r="F3" s="3" t="inlineStr">
        <is>
          <t>TVA (€)</t>
        </is>
      </c>
      <c r="G3" s="3" t="inlineStr">
        <is>
          <t>Montant TTC (€)</t>
        </is>
      </c>
    </row>
    <row r="4" ht="21.75" customHeight="1">
      <c r="A4" s="4" t="inlineStr">
        <is>
          <t>── FLUIDES ──</t>
        </is>
      </c>
    </row>
    <row r="5" ht="18" customHeight="1">
      <c r="A5" s="5" t="inlineStr">
        <is>
          <t xml:space="preserve">  Eau</t>
        </is>
      </c>
    </row>
    <row r="6" ht="15.05" customHeight="1">
      <c r="A6" s="6" t="inlineStr">
        <is>
          <t>AQUALIGE</t>
        </is>
      </c>
      <c r="B6" s="7" t="n"/>
      <c r="C6" s="6" t="inlineStr">
        <is>
          <t>1096904376-1</t>
        </is>
      </c>
      <c r="D6" s="6" t="inlineStr">
        <is>
          <t>Mise en service</t>
        </is>
      </c>
      <c r="E6" s="8" t="n">
        <v>49.82</v>
      </c>
      <c r="F6" s="8" t="n">
        <v>4.98</v>
      </c>
      <c r="G6" s="8" t="n">
        <v>54.8</v>
      </c>
    </row>
    <row r="7" ht="15.05" customHeight="1">
      <c r="A7" s="6" t="inlineStr">
        <is>
          <t>AQUALIGE</t>
        </is>
      </c>
      <c r="B7" s="7" t="n"/>
      <c r="C7" s="6" t="inlineStr">
        <is>
          <t>1096892743-1</t>
        </is>
      </c>
      <c r="D7" s="6" t="inlineStr">
        <is>
          <t>Mise en service</t>
        </is>
      </c>
      <c r="E7" s="8" t="n">
        <v>49.82</v>
      </c>
      <c r="F7" s="8" t="n">
        <v>4.98</v>
      </c>
      <c r="G7" s="8" t="n">
        <v>54.8</v>
      </c>
    </row>
    <row r="8" ht="15.05" customHeight="1">
      <c r="A8" s="6" t="inlineStr">
        <is>
          <t>AQUALIGE</t>
        </is>
      </c>
      <c r="B8" s="9" t="n">
        <v>45854</v>
      </c>
      <c r="C8" s="6" t="inlineStr">
        <is>
          <t>1099190061</t>
        </is>
      </c>
      <c r="D8" s="6" t="inlineStr">
        <is>
          <t>EAU ET ASSAINISSEMENT COMPTEUR 124MK046246</t>
        </is>
      </c>
      <c r="E8" s="8" t="n">
        <v>645.02</v>
      </c>
      <c r="F8" s="8" t="n">
        <v>46.22</v>
      </c>
      <c r="G8" s="8" t="n">
        <v>691.24</v>
      </c>
    </row>
    <row r="9" ht="15.05" customHeight="1">
      <c r="A9" s="6" t="inlineStr">
        <is>
          <t>AQUALIGE</t>
        </is>
      </c>
      <c r="B9" s="9" t="n">
        <v>45854</v>
      </c>
      <c r="C9" s="6" t="inlineStr">
        <is>
          <t>1099203459</t>
        </is>
      </c>
      <c r="D9" s="6" t="inlineStr">
        <is>
          <t xml:space="preserve">EAU ET ASSAINISSEMENT COMPTEUR C24FE015783 </t>
        </is>
      </c>
      <c r="E9" s="8" t="n">
        <v>292.74</v>
      </c>
      <c r="F9" s="8" t="n">
        <v>21.75</v>
      </c>
      <c r="G9" s="8" t="n">
        <v>314.49</v>
      </c>
    </row>
    <row r="10" ht="15.8" customHeight="1">
      <c r="A10" s="10" t="inlineStr">
        <is>
          <t xml:space="preserve">    Sous-total — Eau</t>
        </is>
      </c>
      <c r="E10" s="11">
        <f>SUM(E6:E9)</f>
        <v/>
      </c>
      <c r="F10" s="11">
        <f>SUM(F6:F9)</f>
        <v/>
      </c>
      <c r="G10" s="11">
        <f>SUM(G6:G9)</f>
        <v/>
      </c>
    </row>
    <row r="11" ht="18" customHeight="1">
      <c r="A11" s="5" t="inlineStr">
        <is>
          <t xml:space="preserve">  Electricité</t>
        </is>
      </c>
    </row>
    <row r="12" ht="15.05" customHeight="1">
      <c r="A12" s="6" t="inlineStr">
        <is>
          <t>ENGIE</t>
        </is>
      </c>
      <c r="B12" s="9" t="n">
        <v>45780</v>
      </c>
      <c r="C12" s="6" t="inlineStr">
        <is>
          <t>1200009625875</t>
        </is>
      </c>
      <c r="D12" s="6" t="inlineStr">
        <is>
          <t>CONSOMMATIONS ELECTRICITE 01/04/2025 au 30/04/2025</t>
        </is>
      </c>
      <c r="E12" s="8" t="n">
        <v>4337.28</v>
      </c>
      <c r="F12" s="8" t="n">
        <v>867.46</v>
      </c>
      <c r="G12" s="8" t="n">
        <v>5204.74</v>
      </c>
    </row>
    <row r="13" ht="15.05" customHeight="1">
      <c r="A13" s="6" t="inlineStr">
        <is>
          <t>ENGIE</t>
        </is>
      </c>
      <c r="B13" s="9" t="n">
        <v>45813</v>
      </c>
      <c r="C13" s="6" t="inlineStr">
        <is>
          <t>40017044367</t>
        </is>
      </c>
      <c r="D13" s="6" t="inlineStr">
        <is>
          <t xml:space="preserve">CONSOMMATIONS ELECTRICTITE </t>
        </is>
      </c>
      <c r="E13" s="8" t="n">
        <v>3646.51</v>
      </c>
      <c r="F13" s="8" t="n">
        <v>729.3</v>
      </c>
      <c r="G13" s="8" t="n">
        <v>4375.81</v>
      </c>
    </row>
    <row r="14" ht="15.05" customHeight="1">
      <c r="A14" s="6" t="inlineStr">
        <is>
          <t>ENGIE</t>
        </is>
      </c>
      <c r="B14" s="9" t="n">
        <v>45843</v>
      </c>
      <c r="C14" s="6" t="inlineStr">
        <is>
          <t>520002087186</t>
        </is>
      </c>
      <c r="D14" s="6" t="inlineStr">
        <is>
          <t xml:space="preserve">CONSOMMATIONS ELECTRICTITE </t>
        </is>
      </c>
      <c r="E14" s="8" t="n">
        <v>3379.85</v>
      </c>
      <c r="F14" s="8" t="n">
        <v>675.97</v>
      </c>
      <c r="G14" s="8" t="n">
        <v>4055.82</v>
      </c>
    </row>
    <row r="15" ht="15.05" customHeight="1">
      <c r="A15" s="6" t="inlineStr">
        <is>
          <t>ENGIE</t>
        </is>
      </c>
      <c r="B15" s="9" t="n">
        <v>45876</v>
      </c>
      <c r="C15" s="6" t="inlineStr">
        <is>
          <t>320007792334</t>
        </is>
      </c>
      <c r="D15" s="6" t="inlineStr">
        <is>
          <t xml:space="preserve">CONSOMMATIONS ELECTRICTITE </t>
        </is>
      </c>
      <c r="E15" s="8" t="n">
        <v>3600.2</v>
      </c>
      <c r="F15" s="8" t="n">
        <v>720.04</v>
      </c>
      <c r="G15" s="8" t="n">
        <v>4320.24</v>
      </c>
    </row>
    <row r="16" ht="15.05" customHeight="1">
      <c r="A16" s="6" t="inlineStr">
        <is>
          <t>ENGIE</t>
        </is>
      </c>
      <c r="B16" s="9" t="n">
        <v>45904</v>
      </c>
      <c r="C16" s="6" t="inlineStr">
        <is>
          <t>760000335269</t>
        </is>
      </c>
      <c r="D16" s="6" t="inlineStr">
        <is>
          <t xml:space="preserve">CONSOMMATIONS ELECTRICTITE </t>
        </is>
      </c>
      <c r="E16" s="8" t="n">
        <v>3715.72</v>
      </c>
      <c r="F16" s="8" t="n">
        <v>743.14</v>
      </c>
      <c r="G16" s="8" t="n">
        <v>4458.86</v>
      </c>
    </row>
    <row r="17" ht="15.05" customHeight="1">
      <c r="A17" s="6" t="inlineStr">
        <is>
          <t>ENGIE</t>
        </is>
      </c>
      <c r="B17" s="9" t="n">
        <v>45934</v>
      </c>
      <c r="C17" s="6" t="inlineStr">
        <is>
          <t>630000369535</t>
        </is>
      </c>
      <c r="D17" s="6" t="inlineStr">
        <is>
          <t xml:space="preserve">CONSOMMATIONS ELECTRICTITE </t>
        </is>
      </c>
      <c r="E17" s="8" t="n">
        <v>3737.12</v>
      </c>
      <c r="F17" s="8" t="n">
        <v>747.42</v>
      </c>
      <c r="G17" s="8" t="n">
        <v>4484.54</v>
      </c>
    </row>
    <row r="18" ht="15.05" customHeight="1">
      <c r="A18" s="6" t="inlineStr">
        <is>
          <t>ENGIE</t>
        </is>
      </c>
      <c r="B18" s="9" t="n">
        <v>45965</v>
      </c>
      <c r="C18" s="6" t="inlineStr">
        <is>
          <t>690000378639</t>
        </is>
      </c>
      <c r="D18" s="6" t="inlineStr">
        <is>
          <t xml:space="preserve">CONSOMMATIONS ELECTRICTITE </t>
        </is>
      </c>
      <c r="E18" s="8" t="n">
        <v>4184.89</v>
      </c>
      <c r="F18" s="8" t="n">
        <v>836.98</v>
      </c>
      <c r="G18" s="8" t="n">
        <v>5021.870000000001</v>
      </c>
    </row>
    <row r="19" ht="15.05" customHeight="1">
      <c r="A19" s="6" t="inlineStr">
        <is>
          <t>ENGIE</t>
        </is>
      </c>
      <c r="B19" s="9" t="n">
        <v>45995</v>
      </c>
      <c r="C19" s="6" t="inlineStr">
        <is>
          <t>670000394240</t>
        </is>
      </c>
      <c r="D19" s="6" t="inlineStr">
        <is>
          <t xml:space="preserve">CONSOMMATIONS ELECTRICTITE </t>
        </is>
      </c>
      <c r="E19" s="8" t="n">
        <v>6650.18</v>
      </c>
      <c r="F19" s="8" t="n">
        <v>1330.04</v>
      </c>
      <c r="G19" s="8" t="n">
        <v>7980.22</v>
      </c>
    </row>
    <row r="20" ht="15.05" customHeight="1">
      <c r="A20" s="6" t="inlineStr">
        <is>
          <t>ENGIE</t>
        </is>
      </c>
      <c r="B20" s="9" t="n">
        <v>46025</v>
      </c>
      <c r="C20" s="6" t="inlineStr">
        <is>
          <t>980006173374</t>
        </is>
      </c>
      <c r="D20" s="6" t="inlineStr">
        <is>
          <t xml:space="preserve">CONSOMMATIONS ELECTRICTITE </t>
        </is>
      </c>
      <c r="E20" s="8" t="n">
        <v>7445.64</v>
      </c>
      <c r="F20" s="8" t="n">
        <v>1489.13</v>
      </c>
      <c r="G20" s="8" t="n">
        <v>8934.77</v>
      </c>
    </row>
    <row r="21" ht="15.8" customHeight="1">
      <c r="A21" s="10" t="inlineStr">
        <is>
          <t xml:space="preserve">    Sous-total — Electricité</t>
        </is>
      </c>
      <c r="E21" s="11">
        <f>SUM(E12:E20)</f>
        <v/>
      </c>
      <c r="F21" s="11">
        <f>SUM(F12:F20)</f>
        <v/>
      </c>
      <c r="G21" s="11">
        <f>SUM(G12:G20)</f>
        <v/>
      </c>
    </row>
    <row r="22" ht="18" customHeight="1">
      <c r="A22" s="5" t="inlineStr">
        <is>
          <t xml:space="preserve">  Gaz</t>
        </is>
      </c>
    </row>
    <row r="23" ht="15.05" customHeight="1">
      <c r="A23" s="6" t="inlineStr">
        <is>
          <t>ENGIE</t>
        </is>
      </c>
      <c r="B23" s="9" t="n">
        <v>45782</v>
      </c>
      <c r="C23" s="6" t="inlineStr">
        <is>
          <t>680000258800</t>
        </is>
      </c>
      <c r="D23" s="6" t="inlineStr">
        <is>
          <t>CONSOMMATIONS GAZ 02/04/2025 au 01/05/2025</t>
        </is>
      </c>
      <c r="E23" s="8" t="n">
        <v>2147.53</v>
      </c>
      <c r="F23" s="8" t="n">
        <v>160.14</v>
      </c>
      <c r="G23" s="8" t="n">
        <v>2307.67</v>
      </c>
    </row>
    <row r="24" ht="15.05" customHeight="1">
      <c r="A24" s="6" t="inlineStr">
        <is>
          <t>ENGIE</t>
        </is>
      </c>
      <c r="B24" s="9" t="n">
        <v>45813</v>
      </c>
      <c r="C24" s="6" t="inlineStr">
        <is>
          <t>780000262507</t>
        </is>
      </c>
      <c r="D24" s="6" t="inlineStr">
        <is>
          <t>CONSOMMATIONS GAZ</t>
        </is>
      </c>
      <c r="E24" s="8" t="n">
        <v>2039.74</v>
      </c>
      <c r="F24" s="8" t="n">
        <v>125.43</v>
      </c>
      <c r="G24" s="8" t="n">
        <v>2165.17</v>
      </c>
    </row>
    <row r="25" ht="15.05" customHeight="1">
      <c r="A25" s="6" t="inlineStr">
        <is>
          <t>ENGIE</t>
        </is>
      </c>
      <c r="B25" s="9" t="n">
        <v>45842</v>
      </c>
      <c r="C25" s="6" t="inlineStr">
        <is>
          <t>820001240297</t>
        </is>
      </c>
      <c r="D25" s="6" t="inlineStr">
        <is>
          <t>CONSOMMATIONS GAZ</t>
        </is>
      </c>
      <c r="E25" s="8" t="n">
        <v>2039.74</v>
      </c>
      <c r="F25" s="8" t="n">
        <v>125.43</v>
      </c>
      <c r="G25" s="8" t="n">
        <v>2165.17</v>
      </c>
    </row>
    <row r="26" ht="15.05" customHeight="1">
      <c r="A26" s="6" t="inlineStr">
        <is>
          <t>ENGIE</t>
        </is>
      </c>
      <c r="B26" s="9" t="n">
        <v>45873</v>
      </c>
      <c r="C26" s="6" t="inlineStr">
        <is>
          <t>40017074775</t>
        </is>
      </c>
      <c r="D26" s="6" t="inlineStr">
        <is>
          <t>CONSOMMATIONS GAZ</t>
        </is>
      </c>
      <c r="E26" s="8" t="n">
        <v>2048.67</v>
      </c>
      <c r="F26" s="8" t="n">
        <v>126.15</v>
      </c>
      <c r="G26" s="8" t="n">
        <v>2174.82</v>
      </c>
    </row>
    <row r="27" ht="15.05" customHeight="1">
      <c r="A27" s="6" t="inlineStr">
        <is>
          <t>ENGIE</t>
        </is>
      </c>
      <c r="B27" s="9" t="n">
        <v>45904</v>
      </c>
      <c r="C27" s="6" t="inlineStr">
        <is>
          <t>65000032141</t>
        </is>
      </c>
      <c r="D27" s="6" t="inlineStr">
        <is>
          <t>CONSOMMATIONS GAZ</t>
        </is>
      </c>
      <c r="E27" s="8" t="n">
        <v>2048.67</v>
      </c>
      <c r="F27" s="8" t="n">
        <v>409.73</v>
      </c>
      <c r="G27" s="8" t="n">
        <v>2458.4</v>
      </c>
    </row>
    <row r="28" ht="15.05" customHeight="1">
      <c r="A28" s="6" t="inlineStr">
        <is>
          <t>ENGIE</t>
        </is>
      </c>
      <c r="B28" s="9" t="n">
        <v>45934</v>
      </c>
      <c r="C28" s="6" t="inlineStr">
        <is>
          <t>420006908243</t>
        </is>
      </c>
      <c r="D28" s="6" t="inlineStr">
        <is>
          <t>CONSOMMATIONS GAZ</t>
        </is>
      </c>
      <c r="E28" s="8" t="n">
        <v>2048.67</v>
      </c>
      <c r="F28" s="8" t="n">
        <v>409.73</v>
      </c>
      <c r="G28" s="8" t="n">
        <v>2458.4</v>
      </c>
    </row>
    <row r="29" ht="15.05" customHeight="1">
      <c r="A29" s="6" t="inlineStr">
        <is>
          <t>ENGIE</t>
        </is>
      </c>
      <c r="B29" s="9" t="n">
        <v>45966</v>
      </c>
      <c r="C29" s="6" t="inlineStr">
        <is>
          <t>690000380305</t>
        </is>
      </c>
      <c r="D29" s="6" t="inlineStr">
        <is>
          <t>CONSOMMATIONS GAZ</t>
        </is>
      </c>
      <c r="E29" s="8" t="n">
        <v>2049.48</v>
      </c>
      <c r="F29" s="8" t="n">
        <v>409.9</v>
      </c>
      <c r="G29" s="8" t="n">
        <v>2459.38</v>
      </c>
    </row>
    <row r="30" ht="15.05" customHeight="1">
      <c r="A30" s="6" t="inlineStr">
        <is>
          <t>ENGIE</t>
        </is>
      </c>
      <c r="B30" s="9" t="n">
        <v>45995</v>
      </c>
      <c r="C30" s="6" t="inlineStr">
        <is>
          <t>820006290113</t>
        </is>
      </c>
      <c r="D30" s="6" t="inlineStr">
        <is>
          <t>CONSOMMATIONS GAZ</t>
        </is>
      </c>
      <c r="E30" s="8" t="n">
        <v>2055.74</v>
      </c>
      <c r="F30" s="8" t="n">
        <v>411.15</v>
      </c>
      <c r="G30" s="8" t="n">
        <v>2466.89</v>
      </c>
    </row>
    <row r="31" ht="15.05" customHeight="1">
      <c r="A31" s="6" t="inlineStr">
        <is>
          <t>ENGIE</t>
        </is>
      </c>
      <c r="B31" s="9" t="n">
        <v>46026</v>
      </c>
      <c r="C31" s="6" t="inlineStr">
        <is>
          <t>20040377238</t>
        </is>
      </c>
      <c r="D31" s="6" t="inlineStr">
        <is>
          <t>CONSOMMATIONS GAZ</t>
        </is>
      </c>
      <c r="E31" s="8" t="n">
        <v>2063.48</v>
      </c>
      <c r="F31" s="8" t="n">
        <v>412.7</v>
      </c>
      <c r="G31" s="8" t="n">
        <v>2476.18</v>
      </c>
    </row>
    <row r="32" ht="15.8" customHeight="1">
      <c r="A32" s="10" t="inlineStr">
        <is>
          <t xml:space="preserve">    Sous-total — Gaz</t>
        </is>
      </c>
      <c r="E32" s="11">
        <f>SUM(E23:E31)</f>
        <v/>
      </c>
      <c r="F32" s="11">
        <f>SUM(F23:F31)</f>
        <v/>
      </c>
      <c r="G32" s="11">
        <f>SUM(G23:G31)</f>
        <v/>
      </c>
    </row>
    <row r="33" ht="21.75" customHeight="1">
      <c r="A33" s="4" t="inlineStr">
        <is>
          <t>── TRAVAUX ──</t>
        </is>
      </c>
    </row>
    <row r="34" ht="18" customHeight="1">
      <c r="A34" s="5" t="inlineStr">
        <is>
          <t xml:space="preserve">  Entretien Courant</t>
        </is>
      </c>
    </row>
    <row r="35" ht="15.05" customHeight="1">
      <c r="A35" s="6" t="inlineStr">
        <is>
          <t>ESPACE CLOTURE CENTRE</t>
        </is>
      </c>
      <c r="B35" s="9" t="n">
        <v>45803</v>
      </c>
      <c r="C35" s="6" t="inlineStr">
        <is>
          <t>18011749</t>
        </is>
      </c>
      <c r="D35" s="6" t="inlineStr">
        <is>
          <t>INSTALLATION BOUCLE SORTIE SUR PORTAIL VL</t>
        </is>
      </c>
      <c r="E35" s="8" t="n">
        <v>610</v>
      </c>
      <c r="F35" s="8" t="n">
        <v>122</v>
      </c>
      <c r="G35" s="8" t="n">
        <v>732</v>
      </c>
    </row>
    <row r="36" ht="15.05" customHeight="1">
      <c r="A36" s="6" t="inlineStr">
        <is>
          <t>ESPACE CLOTURE CENTRE</t>
        </is>
      </c>
      <c r="B36" s="9" t="n">
        <v>45832</v>
      </c>
      <c r="C36" s="6" t="inlineStr">
        <is>
          <t>18011816</t>
        </is>
      </c>
      <c r="D36" s="6" t="inlineStr">
        <is>
          <t>POSE DIGICODE</t>
        </is>
      </c>
      <c r="E36" s="8" t="n">
        <v>734.4</v>
      </c>
      <c r="F36" s="8" t="n">
        <v>146.88</v>
      </c>
      <c r="G36" s="8" t="n">
        <v>881.28</v>
      </c>
    </row>
    <row r="37" ht="15.8" customHeight="1">
      <c r="A37" s="10" t="inlineStr">
        <is>
          <t xml:space="preserve">    Sous-total — Entretien Courant</t>
        </is>
      </c>
      <c r="E37" s="11">
        <f>SUM(E35:E36)</f>
        <v/>
      </c>
      <c r="F37" s="11">
        <f>SUM(F35:F36)</f>
        <v/>
      </c>
      <c r="G37" s="11">
        <f>SUM(G35:G36)</f>
        <v/>
      </c>
    </row>
    <row r="38" ht="21.75" customHeight="1">
      <c r="A38" s="4" t="inlineStr">
        <is>
          <t>── CONTRAT MAINTENANCE ──</t>
        </is>
      </c>
    </row>
    <row r="39" ht="18" customHeight="1">
      <c r="A39" s="5" t="inlineStr">
        <is>
          <t xml:space="preserve">  Espaces Verts</t>
        </is>
      </c>
    </row>
    <row r="40" ht="15.05" customHeight="1">
      <c r="A40" s="6" t="inlineStr">
        <is>
          <t>ARP ASTRANCE</t>
        </is>
      </c>
      <c r="B40" s="9" t="n">
        <v>45838</v>
      </c>
      <c r="C40" s="6" t="inlineStr">
        <is>
          <t>FC-ARP-25-06-0141</t>
        </is>
      </c>
      <c r="D40" s="6" t="inlineStr">
        <is>
          <t>Suivis écologiques</t>
        </is>
      </c>
      <c r="E40" s="8" t="n">
        <v>1500</v>
      </c>
      <c r="F40" s="8" t="n">
        <v>300</v>
      </c>
      <c r="G40" s="8" t="n">
        <v>1800</v>
      </c>
    </row>
    <row r="41" ht="15.05" customHeight="1">
      <c r="A41" s="6" t="inlineStr">
        <is>
          <t>ARP ASTRANCE</t>
        </is>
      </c>
      <c r="B41" s="9" t="n">
        <v>45869</v>
      </c>
      <c r="C41" s="6" t="inlineStr">
        <is>
          <t>FC-ARP-25-07-0086</t>
        </is>
      </c>
      <c r="D41" s="6" t="inlineStr">
        <is>
          <t>Suivis écologiques</t>
        </is>
      </c>
      <c r="E41" s="8" t="n">
        <v>2250</v>
      </c>
      <c r="F41" s="8" t="n">
        <v>450</v>
      </c>
      <c r="G41" s="8" t="n">
        <v>2700</v>
      </c>
    </row>
    <row r="42" ht="15.05" customHeight="1">
      <c r="A42" s="6" t="inlineStr">
        <is>
          <t>BOURDIN</t>
        </is>
      </c>
      <c r="B42" s="9" t="n">
        <v>45894</v>
      </c>
      <c r="C42" s="6" t="inlineStr">
        <is>
          <t>BP25080709</t>
        </is>
      </c>
      <c r="D42" s="6" t="inlineStr">
        <is>
          <t>Entretien espaces verts</t>
        </is>
      </c>
      <c r="E42" s="8" t="n">
        <v>1777.5</v>
      </c>
      <c r="F42" s="8" t="n">
        <v>355.5</v>
      </c>
      <c r="G42" s="8" t="n">
        <v>2133</v>
      </c>
    </row>
    <row r="43" ht="15.05" customHeight="1">
      <c r="A43" s="6" t="inlineStr">
        <is>
          <t>ARP ASTRANCE</t>
        </is>
      </c>
      <c r="B43" s="9" t="n">
        <v>45991</v>
      </c>
      <c r="C43" s="6" t="inlineStr">
        <is>
          <t>FC-ARP-25-11-0060</t>
        </is>
      </c>
      <c r="D43" s="6" t="inlineStr">
        <is>
          <t>Suivis écologiques</t>
        </is>
      </c>
      <c r="E43" s="8" t="n">
        <v>2450</v>
      </c>
      <c r="F43" s="8" t="n">
        <v>490</v>
      </c>
      <c r="G43" s="8" t="n">
        <v>2940</v>
      </c>
    </row>
    <row r="44" ht="15.05" customHeight="1">
      <c r="A44" s="6" t="inlineStr">
        <is>
          <t>BOURDIN</t>
        </is>
      </c>
      <c r="B44" s="9" t="n">
        <v>45986</v>
      </c>
      <c r="C44" s="6" t="inlineStr">
        <is>
          <t>BP 9000870</t>
        </is>
      </c>
      <c r="D44" s="6" t="inlineStr">
        <is>
          <t>Entretien espaces verts</t>
        </is>
      </c>
      <c r="E44" s="8" t="n">
        <v>1777.5</v>
      </c>
      <c r="F44" s="8" t="n">
        <v>355.5</v>
      </c>
      <c r="G44" s="8" t="n">
        <v>2133</v>
      </c>
    </row>
    <row r="45" ht="15.05" customHeight="1">
      <c r="A45" s="6" t="inlineStr">
        <is>
          <t>ARP.Astrance</t>
        </is>
      </c>
      <c r="B45" s="9" t="n">
        <v>45961</v>
      </c>
      <c r="C45" s="6" t="inlineStr">
        <is>
          <t>FC-ARP-25-10-0205</t>
        </is>
      </c>
      <c r="D45" s="6" t="inlineStr">
        <is>
          <t>Mission d'assistance à maîtrise d'ouvrage pour la réalisation de suivi écologiques</t>
        </is>
      </c>
      <c r="E45" s="8" t="n">
        <v>562.5</v>
      </c>
      <c r="F45" s="8" t="n">
        <v>112.5</v>
      </c>
      <c r="G45" s="8" t="n">
        <v>675</v>
      </c>
    </row>
    <row r="46" ht="15.8" customHeight="1">
      <c r="A46" s="10" t="inlineStr">
        <is>
          <t xml:space="preserve">    Sous-total — Espaces Verts</t>
        </is>
      </c>
      <c r="E46" s="11">
        <f>SUM(E40:E45)</f>
        <v/>
      </c>
      <c r="F46" s="11">
        <f>SUM(F40:F45)</f>
        <v/>
      </c>
      <c r="G46" s="11">
        <f>SUM(G40:G45)</f>
        <v/>
      </c>
    </row>
    <row r="47" ht="18" customHeight="1">
      <c r="A47" s="5" t="inlineStr">
        <is>
          <t xml:space="preserve">  CVC</t>
        </is>
      </c>
    </row>
    <row r="48" ht="15.05" customHeight="1">
      <c r="A48" s="6" t="inlineStr">
        <is>
          <t>EIFFAGE</t>
        </is>
      </c>
      <c r="B48" s="9" t="n">
        <v>45841</v>
      </c>
      <c r="C48" s="6" t="inlineStr">
        <is>
          <t>F00190250700001</t>
        </is>
      </c>
      <c r="D48" s="6" t="inlineStr">
        <is>
          <t>MAINTENANCE CVC CHAUFFERIE CLIMATISATION VRD PLOMBERIE</t>
        </is>
      </c>
      <c r="E48" s="8" t="n">
        <v>3430</v>
      </c>
      <c r="F48" s="8" t="n">
        <v>686</v>
      </c>
      <c r="G48" s="8" t="n">
        <v>4116</v>
      </c>
    </row>
    <row r="49" ht="15.05" customHeight="1">
      <c r="A49" s="6" t="inlineStr">
        <is>
          <t>EIFFAGE</t>
        </is>
      </c>
      <c r="B49" s="9" t="n">
        <v>45988</v>
      </c>
      <c r="C49" s="6" t="inlineStr">
        <is>
          <t>F00190251100472</t>
        </is>
      </c>
      <c r="D49" s="6" t="inlineStr">
        <is>
          <t>REGULARISATION DEFAUT POMPE DE RELEVAGE</t>
        </is>
      </c>
      <c r="E49" s="8" t="n">
        <v>250</v>
      </c>
      <c r="F49" s="8" t="n">
        <v>50</v>
      </c>
      <c r="G49" s="8" t="n">
        <v>300</v>
      </c>
    </row>
    <row r="50" ht="15.8" customHeight="1">
      <c r="A50" s="10" t="inlineStr">
        <is>
          <t xml:space="preserve">    Sous-total — CVC</t>
        </is>
      </c>
      <c r="E50" s="11">
        <f>SUM(E48:E49)</f>
        <v/>
      </c>
      <c r="F50" s="11">
        <f>SUM(F48:F49)</f>
        <v/>
      </c>
      <c r="G50" s="11">
        <f>SUM(G48:G49)</f>
        <v/>
      </c>
    </row>
    <row r="51" ht="18" customHeight="1">
      <c r="A51" s="5" t="inlineStr">
        <is>
          <t xml:space="preserve">  Sécurité</t>
        </is>
      </c>
    </row>
    <row r="52" ht="15.05" customHeight="1">
      <c r="A52" s="6" t="inlineStr">
        <is>
          <t>AVC Sécurité</t>
        </is>
      </c>
      <c r="B52" s="9" t="n">
        <v>45776</v>
      </c>
      <c r="C52" s="6" t="inlineStr"/>
      <c r="D52" s="6" t="inlineStr">
        <is>
          <t>CONTRAT DE TELESURVEILLANCE + GSM</t>
        </is>
      </c>
      <c r="E52" s="8" t="n">
        <v>840</v>
      </c>
      <c r="F52" s="8" t="n">
        <v>168</v>
      </c>
      <c r="G52" s="8" t="n">
        <v>1008</v>
      </c>
    </row>
    <row r="53" ht="15.05" customHeight="1">
      <c r="A53" s="6" t="inlineStr">
        <is>
          <t>AVC Sécurité</t>
        </is>
      </c>
      <c r="B53" s="9" t="n">
        <v>45747</v>
      </c>
      <c r="C53" s="6" t="inlineStr"/>
      <c r="D53" s="6" t="inlineStr">
        <is>
          <t>CONTRAT DE TELESURVEILLANCE + GSM</t>
        </is>
      </c>
      <c r="E53" s="8" t="n">
        <v>840</v>
      </c>
      <c r="F53" s="8" t="n">
        <v>168</v>
      </c>
      <c r="G53" s="8" t="n">
        <v>1008</v>
      </c>
    </row>
    <row r="54" ht="15.8" customHeight="1">
      <c r="A54" s="10" t="inlineStr">
        <is>
          <t xml:space="preserve">    Sous-total — Sécurité</t>
        </is>
      </c>
      <c r="E54" s="11">
        <f>SUM(E52:E53)</f>
        <v/>
      </c>
      <c r="F54" s="11">
        <f>SUM(F52:F53)</f>
        <v/>
      </c>
      <c r="G54" s="11">
        <f>SUM(G52:G53)</f>
        <v/>
      </c>
    </row>
    <row r="55" ht="18" customHeight="1">
      <c r="A55" s="5" t="inlineStr">
        <is>
          <t xml:space="preserve">  SSI</t>
        </is>
      </c>
    </row>
    <row r="56" ht="15.05" customHeight="1">
      <c r="A56" s="6" t="inlineStr">
        <is>
          <t>CONCEPT SECURITE</t>
        </is>
      </c>
      <c r="B56" s="9" t="n">
        <v>45832</v>
      </c>
      <c r="C56" s="6" t="inlineStr">
        <is>
          <t>FA022398</t>
        </is>
      </c>
      <c r="D56" s="6" t="inlineStr">
        <is>
          <t>DEPANNAGE SSI - EXERCICE ID LOGISTICS</t>
        </is>
      </c>
      <c r="E56" s="8" t="n">
        <v>304</v>
      </c>
      <c r="F56" s="8" t="n">
        <v>60.8</v>
      </c>
      <c r="G56" s="8" t="n">
        <v>364.8</v>
      </c>
    </row>
    <row r="57" ht="15.05" customHeight="1">
      <c r="A57" s="6" t="inlineStr">
        <is>
          <t>CONCEPT SECURITE</t>
        </is>
      </c>
      <c r="B57" s="9" t="n">
        <v>45929</v>
      </c>
      <c r="C57" s="6" t="inlineStr">
        <is>
          <t>FA022971</t>
        </is>
      </c>
      <c r="D57" s="6" t="inlineStr">
        <is>
          <t>Fourniture des pose des extincteurs parties communes</t>
        </is>
      </c>
      <c r="E57" s="8" t="n">
        <v>922.0700000000001</v>
      </c>
      <c r="F57" s="8" t="n">
        <v>184.41</v>
      </c>
      <c r="G57" s="8" t="n">
        <v>1106.48</v>
      </c>
    </row>
    <row r="58" ht="15.05" customHeight="1">
      <c r="A58" s="6" t="inlineStr">
        <is>
          <t>CONCEPT SECURITE</t>
        </is>
      </c>
      <c r="B58" s="9" t="n">
        <v>45936</v>
      </c>
      <c r="C58" s="6" t="inlineStr">
        <is>
          <t>FA023051</t>
        </is>
      </c>
      <c r="D58" s="6" t="inlineStr">
        <is>
          <t>Dépannage porte coupe-feu et porte piétonne</t>
        </is>
      </c>
      <c r="E58" s="8" t="n">
        <v>194</v>
      </c>
      <c r="F58" s="8" t="n">
        <v>38.8</v>
      </c>
      <c r="G58" s="8" t="n">
        <v>232.8</v>
      </c>
    </row>
    <row r="59" ht="15.8" customHeight="1">
      <c r="A59" s="10" t="inlineStr">
        <is>
          <t xml:space="preserve">    Sous-total — SSI</t>
        </is>
      </c>
      <c r="E59" s="11">
        <f>SUM(E56:E58)</f>
        <v/>
      </c>
      <c r="F59" s="11">
        <f>SUM(F56:F58)</f>
        <v/>
      </c>
      <c r="G59" s="11">
        <f>SUM(G56:G58)</f>
        <v/>
      </c>
    </row>
    <row r="60" ht="18" customHeight="1">
      <c r="A60" s="5" t="inlineStr">
        <is>
          <t xml:space="preserve">  Toitures</t>
        </is>
      </c>
    </row>
    <row r="61" ht="15.05" customHeight="1">
      <c r="A61" s="6" t="inlineStr">
        <is>
          <t>SIPHOTEC</t>
        </is>
      </c>
      <c r="B61" s="9" t="n">
        <v>45838</v>
      </c>
      <c r="C61" s="6" t="inlineStr">
        <is>
          <t>FE2506737</t>
        </is>
      </c>
      <c r="D61" s="6" t="inlineStr">
        <is>
          <t>ENTRETIEN SIPHOÏDES</t>
        </is>
      </c>
      <c r="E61" s="8" t="n">
        <v>2600</v>
      </c>
      <c r="F61" s="8" t="n">
        <v>520</v>
      </c>
      <c r="G61" s="8" t="n">
        <v>3120</v>
      </c>
    </row>
    <row r="62" ht="15.05" customHeight="1">
      <c r="A62" s="6" t="inlineStr">
        <is>
          <t>SIPHOTEC</t>
        </is>
      </c>
      <c r="B62" s="9" t="n">
        <v>45961</v>
      </c>
      <c r="C62" s="6" t="inlineStr">
        <is>
          <t>FE2510768</t>
        </is>
      </c>
      <c r="D62" s="6" t="inlineStr">
        <is>
          <t>ENTRETIEN DU SYSTÈME SIPHOIDE</t>
        </is>
      </c>
      <c r="E62" s="8" t="n">
        <v>2600</v>
      </c>
      <c r="F62" s="8" t="n">
        <v>520</v>
      </c>
      <c r="G62" s="8" t="n">
        <v>3120</v>
      </c>
    </row>
    <row r="63" ht="15.05" customHeight="1">
      <c r="A63" s="6" t="inlineStr">
        <is>
          <t>PROTECTA</t>
        </is>
      </c>
      <c r="B63" s="9" t="n">
        <v>46014</v>
      </c>
      <c r="C63" s="6" t="inlineStr">
        <is>
          <t>FA-45-2025-0564</t>
        </is>
      </c>
      <c r="D63" s="6" t="inlineStr">
        <is>
          <t>VISITE TOITURE / RAPPORT PHOTO</t>
        </is>
      </c>
      <c r="E63" s="8" t="n">
        <v>1125.66</v>
      </c>
      <c r="F63" s="8" t="n">
        <v>225.13</v>
      </c>
      <c r="G63" s="8" t="n">
        <v>1350.79</v>
      </c>
    </row>
    <row r="64" ht="15.8" customHeight="1">
      <c r="A64" s="10" t="inlineStr">
        <is>
          <t xml:space="preserve">    Sous-total — Toitures</t>
        </is>
      </c>
      <c r="E64" s="11">
        <f>SUM(E61:E63)</f>
        <v/>
      </c>
      <c r="F64" s="11">
        <f>SUM(F61:F63)</f>
        <v/>
      </c>
      <c r="G64" s="11">
        <f>SUM(G61:G63)</f>
        <v/>
      </c>
    </row>
    <row r="65" ht="18" customHeight="1">
      <c r="A65" s="5" t="inlineStr">
        <is>
          <t xml:space="preserve">  SPK / RIA / PI</t>
        </is>
      </c>
    </row>
    <row r="66" ht="15.05" customHeight="1">
      <c r="A66" s="6" t="inlineStr">
        <is>
          <t>AXIMA</t>
        </is>
      </c>
      <c r="B66" s="9" t="n">
        <v>45750</v>
      </c>
      <c r="C66" s="6" t="inlineStr">
        <is>
          <t>8710250910</t>
        </is>
      </c>
      <c r="D66" s="6" t="inlineStr">
        <is>
          <t>CONTRAT D’ENTRETIEN DE PROTECTION INCENDIE du 21/03/25 au 20/04/25</t>
        </is>
      </c>
      <c r="E66" s="8" t="n">
        <v>2224.33</v>
      </c>
      <c r="F66" s="8" t="n">
        <v>444.87</v>
      </c>
      <c r="G66" s="8" t="n">
        <v>2669.2</v>
      </c>
    </row>
    <row r="67" ht="15.05" customHeight="1">
      <c r="A67" s="6" t="inlineStr">
        <is>
          <t>AXIMA</t>
        </is>
      </c>
      <c r="B67" s="9" t="n">
        <v>45768</v>
      </c>
      <c r="C67" s="6" t="inlineStr">
        <is>
          <t>8710250911</t>
        </is>
      </c>
      <c r="D67" s="6" t="inlineStr">
        <is>
          <t>CONTRAT D’ENTRETIEN DE PROTECTION INCENDIE du 21/04/25 au 20/05/25</t>
        </is>
      </c>
      <c r="E67" s="8" t="n">
        <v>2224.33</v>
      </c>
      <c r="F67" s="8" t="n">
        <v>444.87</v>
      </c>
      <c r="G67" s="8" t="n">
        <v>2669.2</v>
      </c>
    </row>
    <row r="68" ht="15.05" customHeight="1">
      <c r="A68" s="6" t="inlineStr">
        <is>
          <t>AXIMA</t>
        </is>
      </c>
      <c r="B68" s="9" t="n">
        <v>45798</v>
      </c>
      <c r="C68" s="6" t="inlineStr">
        <is>
          <t>8710252246</t>
        </is>
      </c>
      <c r="D68" s="6" t="inlineStr">
        <is>
          <t>ENTRETIEN PROTECTION INCENDIE</t>
        </is>
      </c>
      <c r="E68" s="8" t="n">
        <v>2224.33</v>
      </c>
      <c r="F68" s="8" t="n">
        <v>444.87</v>
      </c>
      <c r="G68" s="8" t="n">
        <v>2669.2</v>
      </c>
    </row>
    <row r="69" ht="15.05" customHeight="1">
      <c r="A69" s="6" t="inlineStr">
        <is>
          <t>AXIMA</t>
        </is>
      </c>
      <c r="B69" s="9" t="n">
        <v>45829</v>
      </c>
      <c r="C69" s="6" t="inlineStr">
        <is>
          <t>8710253747</t>
        </is>
      </c>
      <c r="D69" s="6" t="inlineStr">
        <is>
          <t>ENTRETIEN PROTECTION INCENDIE</t>
        </is>
      </c>
      <c r="E69" s="8" t="n">
        <v>2224.33</v>
      </c>
      <c r="F69" s="8" t="n">
        <v>444.87</v>
      </c>
      <c r="G69" s="8" t="n">
        <v>2669.2</v>
      </c>
    </row>
    <row r="70" ht="15.05" customHeight="1">
      <c r="A70" s="6" t="inlineStr">
        <is>
          <t>AXIMA</t>
        </is>
      </c>
      <c r="B70" s="9" t="n">
        <v>45864</v>
      </c>
      <c r="C70" s="6" t="inlineStr">
        <is>
          <t>8710255568</t>
        </is>
      </c>
      <c r="D70" s="6" t="inlineStr">
        <is>
          <t>ENTRETIEN PROTECTION INCENDIE</t>
        </is>
      </c>
      <c r="E70" s="8" t="n">
        <v>2224.33</v>
      </c>
      <c r="F70" s="8" t="n">
        <v>444.87</v>
      </c>
      <c r="G70" s="8" t="n">
        <v>2669.2</v>
      </c>
    </row>
    <row r="71" ht="15.05" customHeight="1">
      <c r="A71" s="6" t="inlineStr">
        <is>
          <t>AXIMA</t>
        </is>
      </c>
      <c r="B71" s="9" t="n">
        <v>45870</v>
      </c>
      <c r="C71" s="6" t="inlineStr">
        <is>
          <t>8710257942</t>
        </is>
      </c>
      <c r="D71" s="6" t="inlineStr">
        <is>
          <t>Fourniture de gasoil - protection incendie</t>
        </is>
      </c>
      <c r="E71" s="8" t="n">
        <v>2656.4</v>
      </c>
      <c r="F71" s="8" t="n">
        <v>531.28</v>
      </c>
      <c r="G71" s="8" t="n">
        <v>3187.68</v>
      </c>
    </row>
    <row r="72" ht="15.05" customHeight="1">
      <c r="A72" s="6" t="inlineStr">
        <is>
          <t>AXIMA</t>
        </is>
      </c>
      <c r="B72" s="9" t="n">
        <v>45890</v>
      </c>
      <c r="C72" s="6" t="inlineStr">
        <is>
          <t>8710257717</t>
        </is>
      </c>
      <c r="D72" s="6" t="inlineStr">
        <is>
          <t>ENTRETIEN PROTECTION INCENDIE</t>
        </is>
      </c>
      <c r="E72" s="8" t="n">
        <v>2224.33</v>
      </c>
      <c r="F72" s="8" t="n">
        <v>444.87</v>
      </c>
      <c r="G72" s="8" t="n">
        <v>2669.2</v>
      </c>
    </row>
    <row r="73" ht="15.05" customHeight="1">
      <c r="A73" s="6" t="inlineStr">
        <is>
          <t>AXIMA</t>
        </is>
      </c>
      <c r="B73" s="9" t="n">
        <v>45921</v>
      </c>
      <c r="C73" s="6" t="inlineStr">
        <is>
          <t>8710259036</t>
        </is>
      </c>
      <c r="D73" s="6" t="inlineStr">
        <is>
          <t>ENTRETIEN PROTECTION INCENDIE</t>
        </is>
      </c>
      <c r="E73" s="8" t="n">
        <v>2224.33</v>
      </c>
      <c r="F73" s="8" t="n">
        <v>444.87</v>
      </c>
      <c r="G73" s="8" t="n">
        <v>2669.2</v>
      </c>
    </row>
    <row r="74" ht="15.05" customHeight="1">
      <c r="A74" s="6" t="inlineStr">
        <is>
          <t>AXIMA</t>
        </is>
      </c>
      <c r="B74" s="9" t="n">
        <v>45951</v>
      </c>
      <c r="C74" s="6" t="inlineStr">
        <is>
          <t>8710260974</t>
        </is>
      </c>
      <c r="D74" s="6" t="inlineStr">
        <is>
          <t>ENTRETIEN PROTECTION INCENDIE</t>
        </is>
      </c>
      <c r="E74" s="8" t="n">
        <v>2224.33</v>
      </c>
      <c r="F74" s="8" t="n">
        <v>444.87</v>
      </c>
      <c r="G74" s="8" t="n">
        <v>2669.2</v>
      </c>
    </row>
    <row r="75" ht="15.05" customHeight="1">
      <c r="A75" s="6" t="inlineStr">
        <is>
          <t>AXIMA</t>
        </is>
      </c>
      <c r="B75" s="9" t="n">
        <v>45982</v>
      </c>
      <c r="C75" s="6" t="inlineStr">
        <is>
          <t>8710262855</t>
        </is>
      </c>
      <c r="D75" s="6" t="inlineStr">
        <is>
          <t>ENTRETIEN PROTECTION INCENDIE</t>
        </is>
      </c>
      <c r="E75" s="8" t="n">
        <v>2224.33</v>
      </c>
      <c r="F75" s="8" t="n">
        <v>444.87</v>
      </c>
      <c r="G75" s="8" t="n">
        <v>2669.2</v>
      </c>
    </row>
    <row r="76" ht="15.05" customHeight="1">
      <c r="A76" s="6" t="inlineStr">
        <is>
          <t>AXIMA</t>
        </is>
      </c>
      <c r="B76" s="9" t="n">
        <v>46012</v>
      </c>
      <c r="C76" s="6" t="inlineStr">
        <is>
          <t>8710264942</t>
        </is>
      </c>
      <c r="D76" s="6" t="inlineStr">
        <is>
          <t>CONTRAT D’ENTRETIEN DE PROTECTION INCENDIE du 21/12/25 au 20/01/26</t>
        </is>
      </c>
      <c r="E76" s="8" t="n">
        <v>2224.33</v>
      </c>
      <c r="F76" s="8" t="n">
        <v>444.87</v>
      </c>
      <c r="G76" s="8" t="n">
        <v>2669.2</v>
      </c>
    </row>
    <row r="77" ht="15.8" customHeight="1">
      <c r="A77" s="10" t="inlineStr">
        <is>
          <t xml:space="preserve">    Sous-total — SPK / RIA / PI</t>
        </is>
      </c>
      <c r="E77" s="11">
        <f>SUM(E66:E76)</f>
        <v/>
      </c>
      <c r="F77" s="11">
        <f>SUM(F66:F76)</f>
        <v/>
      </c>
      <c r="G77" s="11">
        <f>SUM(G66:G76)</f>
        <v/>
      </c>
    </row>
    <row r="78" ht="18" customHeight="1">
      <c r="A78" s="5" t="inlineStr">
        <is>
          <t xml:space="preserve">  Installations électriques</t>
        </is>
      </c>
    </row>
    <row r="79" ht="15.05" customHeight="1">
      <c r="A79" s="6" t="inlineStr">
        <is>
          <t>OTIS</t>
        </is>
      </c>
      <c r="B79" s="9" t="n">
        <v>45833</v>
      </c>
      <c r="C79" s="6" t="inlineStr">
        <is>
          <t>VOF 8192916</t>
        </is>
      </c>
      <c r="D79" s="6" t="inlineStr">
        <is>
          <t>MAINTENANCE ASCENSEURS MAI JUIN 25</t>
        </is>
      </c>
      <c r="E79" s="8" t="n">
        <v>500</v>
      </c>
      <c r="F79" s="8" t="n">
        <v>100</v>
      </c>
      <c r="G79" s="8" t="n">
        <v>600</v>
      </c>
    </row>
    <row r="80" ht="15.05" customHeight="1">
      <c r="A80" s="6" t="inlineStr">
        <is>
          <t>OTIS</t>
        </is>
      </c>
      <c r="B80" s="9" t="n">
        <v>45841</v>
      </c>
      <c r="C80" s="6" t="inlineStr">
        <is>
          <t>VOF 8251287</t>
        </is>
      </c>
      <c r="D80" s="6" t="inlineStr">
        <is>
          <t>MAINTENANCE ASCENSEURS T3</t>
        </is>
      </c>
      <c r="E80" s="8" t="n">
        <v>750</v>
      </c>
      <c r="F80" s="8" t="n">
        <v>150</v>
      </c>
      <c r="G80" s="8" t="n">
        <v>900</v>
      </c>
    </row>
    <row r="81" ht="15.05" customHeight="1">
      <c r="A81" s="6" t="inlineStr">
        <is>
          <t>EIFFAGE</t>
        </is>
      </c>
      <c r="B81" s="9" t="n">
        <v>45833</v>
      </c>
      <c r="C81" s="6" t="inlineStr">
        <is>
          <t>F00190250600306</t>
        </is>
      </c>
      <c r="D81" s="6" t="inlineStr">
        <is>
          <t>Maintenance électricité</t>
        </is>
      </c>
      <c r="E81" s="8" t="n">
        <v>4700</v>
      </c>
      <c r="F81" s="8" t="n">
        <v>940</v>
      </c>
      <c r="G81" s="8" t="n">
        <v>5640</v>
      </c>
    </row>
    <row r="82" ht="15.05" customHeight="1">
      <c r="A82" s="6" t="inlineStr">
        <is>
          <t>OTIS</t>
        </is>
      </c>
      <c r="B82" s="9" t="n">
        <v>45932</v>
      </c>
      <c r="C82" s="6" t="inlineStr">
        <is>
          <t>VOF 8380322</t>
        </is>
      </c>
      <c r="D82" s="6" t="inlineStr">
        <is>
          <t>Prestations de services Entretien du 01/10/25 au 31/12/25-Ascenceur</t>
        </is>
      </c>
      <c r="E82" s="8" t="n">
        <v>750</v>
      </c>
      <c r="F82" s="8" t="n">
        <v>150</v>
      </c>
      <c r="G82" s="8" t="n">
        <v>900</v>
      </c>
    </row>
    <row r="83" ht="15.8" customHeight="1">
      <c r="A83" s="10" t="inlineStr">
        <is>
          <t xml:space="preserve">    Sous-total — Installations électriques</t>
        </is>
      </c>
      <c r="E83" s="11">
        <f>SUM(E79:E82)</f>
        <v/>
      </c>
      <c r="F83" s="11">
        <f>SUM(F79:F82)</f>
        <v/>
      </c>
      <c r="G83" s="11">
        <f>SUM(G79:G82)</f>
        <v/>
      </c>
    </row>
    <row r="84" ht="18" customHeight="1">
      <c r="A84" s="5" t="inlineStr">
        <is>
          <t xml:space="preserve">  Protection Foudre</t>
        </is>
      </c>
    </row>
    <row r="85" ht="15.05" customHeight="1">
      <c r="A85" s="6" t="inlineStr">
        <is>
          <t>Etablissement Renard</t>
        </is>
      </c>
      <c r="B85" s="9" t="n">
        <v>46006</v>
      </c>
      <c r="C85" s="6" t="inlineStr">
        <is>
          <t>2512205</t>
        </is>
      </c>
      <c r="D85" s="6" t="inlineStr">
        <is>
          <t>Contrat de vérification-maintenance protection contre la foudre</t>
        </is>
      </c>
      <c r="E85" s="8" t="n">
        <v>1920</v>
      </c>
      <c r="F85" s="8" t="n">
        <v>384</v>
      </c>
      <c r="G85" s="8" t="n">
        <v>2304</v>
      </c>
    </row>
    <row r="86" ht="15.05" customHeight="1">
      <c r="A86" s="6" t="inlineStr">
        <is>
          <t>BUREAU VERITAS</t>
        </is>
      </c>
      <c r="B86" s="7" t="n"/>
      <c r="C86" s="6" t="inlineStr"/>
      <c r="D86" s="6" t="inlineStr"/>
      <c r="E86" s="8" t="n">
        <v>695</v>
      </c>
      <c r="F86" s="8" t="n">
        <v>139</v>
      </c>
      <c r="G86" s="8" t="n">
        <v>834</v>
      </c>
    </row>
    <row r="87" ht="15.05" customHeight="1">
      <c r="A87" s="6" t="inlineStr">
        <is>
          <t>BUREAU VERITAS</t>
        </is>
      </c>
      <c r="B87" s="9" t="n">
        <v>45918</v>
      </c>
      <c r="C87" s="6" t="inlineStr">
        <is>
          <t>25546933</t>
        </is>
      </c>
      <c r="D87" s="6" t="inlineStr">
        <is>
          <t>Vérification périodique des installations électriques (Q19)</t>
        </is>
      </c>
      <c r="E87" s="8" t="n">
        <v>695</v>
      </c>
      <c r="F87" s="8" t="n">
        <v>139</v>
      </c>
      <c r="G87" s="8" t="n">
        <v>834</v>
      </c>
    </row>
    <row r="88" ht="15.8" customHeight="1">
      <c r="A88" s="10" t="inlineStr">
        <is>
          <t xml:space="preserve">    Sous-total — Protection Foudre</t>
        </is>
      </c>
      <c r="E88" s="11">
        <f>SUM(E85:E87)</f>
        <v/>
      </c>
      <c r="F88" s="11">
        <f>SUM(F85:F87)</f>
        <v/>
      </c>
      <c r="G88" s="11">
        <f>SUM(G85:G87)</f>
        <v/>
      </c>
    </row>
    <row r="89" ht="18" customHeight="1">
      <c r="A89" s="5" t="inlineStr">
        <is>
          <t xml:space="preserve">  GTB</t>
        </is>
      </c>
    </row>
    <row r="90" ht="15.05" customHeight="1">
      <c r="A90" s="6" t="inlineStr">
        <is>
          <t>CN 45</t>
        </is>
      </c>
      <c r="B90" s="7" t="n"/>
      <c r="C90" s="6" t="inlineStr"/>
      <c r="D90" s="6" t="inlineStr"/>
      <c r="E90" s="8" t="n">
        <v>514</v>
      </c>
      <c r="F90" s="8" t="n">
        <v>102.8</v>
      </c>
      <c r="G90" s="8" t="n">
        <v>616.8</v>
      </c>
    </row>
    <row r="91" ht="15.05" customHeight="1">
      <c r="A91" s="6" t="inlineStr">
        <is>
          <t>CN 45</t>
        </is>
      </c>
      <c r="B91" s="9" t="n">
        <v>45835</v>
      </c>
      <c r="C91" s="6" t="inlineStr">
        <is>
          <t>2025/754</t>
        </is>
      </c>
      <c r="D91" s="6" t="inlineStr"/>
      <c r="E91" s="8" t="n">
        <v>514</v>
      </c>
      <c r="F91" s="8" t="n">
        <v>102.8</v>
      </c>
      <c r="G91" s="8" t="n">
        <v>616.8</v>
      </c>
    </row>
    <row r="92" ht="15.05" customHeight="1">
      <c r="A92" s="6" t="inlineStr">
        <is>
          <t>SOA</t>
        </is>
      </c>
      <c r="B92" s="7" t="n"/>
      <c r="C92" s="6" t="inlineStr"/>
      <c r="D92" s="6" t="inlineStr"/>
      <c r="E92" s="8" t="n">
        <v>2577</v>
      </c>
      <c r="F92" s="8" t="n">
        <v>515.4</v>
      </c>
      <c r="G92" s="8" t="n">
        <v>3092.4</v>
      </c>
    </row>
    <row r="93" ht="15.05" customHeight="1">
      <c r="A93" s="6" t="inlineStr">
        <is>
          <t>SOA</t>
        </is>
      </c>
      <c r="B93" s="9" t="n">
        <v>45956</v>
      </c>
      <c r="C93" s="6" t="inlineStr">
        <is>
          <t>251003937</t>
        </is>
      </c>
      <c r="D93" s="6" t="inlineStr">
        <is>
          <t>Entretien des séparateurs hydrocarbures</t>
        </is>
      </c>
      <c r="E93" s="8" t="n">
        <v>2577</v>
      </c>
      <c r="F93" s="8" t="n">
        <v>515.4</v>
      </c>
      <c r="G93" s="8" t="n">
        <v>3092.4</v>
      </c>
    </row>
    <row r="94" ht="15.05" customHeight="1">
      <c r="A94" s="6" t="inlineStr">
        <is>
          <t>NEO DB / B27 / BUREAU VERITAS</t>
        </is>
      </c>
      <c r="B94" s="7" t="n"/>
      <c r="C94" s="6" t="inlineStr"/>
      <c r="D94" s="6" t="inlineStr"/>
      <c r="E94" s="8" t="n">
        <v>1602.5</v>
      </c>
      <c r="F94" s="8" t="n">
        <v>320.5</v>
      </c>
      <c r="G94" s="8" t="n">
        <v>1923</v>
      </c>
    </row>
    <row r="95" ht="15.05" customHeight="1">
      <c r="A95" s="6" t="inlineStr">
        <is>
          <t>BUREAU VERITAS</t>
        </is>
      </c>
      <c r="B95" s="9" t="n">
        <v>45859</v>
      </c>
      <c r="C95" s="6" t="inlineStr">
        <is>
          <t>25425847</t>
        </is>
      </c>
      <c r="D95" s="6" t="inlineStr">
        <is>
          <t>CONTRÔLE REJETS CHAUFFERIE ET REJETS ACQUEUX</t>
        </is>
      </c>
      <c r="E95" s="8" t="n">
        <v>1147.5</v>
      </c>
      <c r="F95" s="8" t="n">
        <v>229.5</v>
      </c>
      <c r="G95" s="8" t="n">
        <v>1377</v>
      </c>
    </row>
    <row r="96" ht="15.05" customHeight="1">
      <c r="A96" s="6" t="inlineStr">
        <is>
          <t>BUREAU VERITAS</t>
        </is>
      </c>
      <c r="B96" s="9" t="n">
        <v>45918</v>
      </c>
      <c r="C96" s="6" t="inlineStr"/>
      <c r="D96" s="6" t="inlineStr">
        <is>
          <t>Vérification périodique des disconnecteurs</t>
        </is>
      </c>
      <c r="E96" s="8" t="n">
        <v>455</v>
      </c>
      <c r="F96" s="8" t="n">
        <v>91</v>
      </c>
      <c r="G96" s="8" t="n">
        <v>546</v>
      </c>
    </row>
    <row r="97" ht="15.8" customHeight="1">
      <c r="A97" s="10" t="inlineStr">
        <is>
          <t xml:space="preserve">    Sous-total — GTB</t>
        </is>
      </c>
      <c r="E97" s="11">
        <f>SUM(E90:E96)</f>
        <v/>
      </c>
      <c r="F97" s="11">
        <f>SUM(F90:F96)</f>
        <v/>
      </c>
      <c r="G97" s="11">
        <f>SUM(G90:G96)</f>
        <v/>
      </c>
    </row>
    <row r="98" ht="18" customHeight="1">
      <c r="A98" s="5" t="inlineStr">
        <is>
          <t xml:space="preserve">  Détection Gaz</t>
        </is>
      </c>
    </row>
    <row r="99" ht="15.05" customHeight="1">
      <c r="A99" s="6" t="inlineStr">
        <is>
          <t>BE ATEX</t>
        </is>
      </c>
      <c r="B99" s="7" t="n"/>
      <c r="C99" s="6" t="inlineStr">
        <is>
          <t>CC65197</t>
        </is>
      </c>
      <c r="D99" s="6" t="inlineStr">
        <is>
          <t>CONTRÔLE ET VERIFICATION DES EQUIPEMENTS DE DETECTION GAZ FIXES</t>
        </is>
      </c>
      <c r="E99" s="8" t="n">
        <v>344.96</v>
      </c>
      <c r="F99" s="8" t="n">
        <v>68.98999999999999</v>
      </c>
      <c r="G99" s="8" t="n">
        <v>413.95</v>
      </c>
    </row>
    <row r="100" ht="15.05" customHeight="1">
      <c r="A100" s="6" t="inlineStr">
        <is>
          <t>BE ATEX</t>
        </is>
      </c>
      <c r="B100" s="9" t="n">
        <v>45974</v>
      </c>
      <c r="C100" s="6" t="inlineStr">
        <is>
          <t>FC76885</t>
        </is>
      </c>
      <c r="D100" s="6" t="inlineStr">
        <is>
          <t>CONTRÔLE ET VERIFICATION DES EQUIPEMENTS DE DETECTION GAZ FIXES</t>
        </is>
      </c>
      <c r="E100" s="8" t="n">
        <v>344.96</v>
      </c>
      <c r="F100" s="8" t="n">
        <v>68.98999999999999</v>
      </c>
      <c r="G100" s="8" t="n">
        <v>413.95</v>
      </c>
    </row>
    <row r="101" ht="15.8" customHeight="1">
      <c r="A101" s="10" t="inlineStr">
        <is>
          <t xml:space="preserve">    Sous-total — Détection Gaz</t>
        </is>
      </c>
      <c r="E101" s="11">
        <f>SUM(E99:E100)</f>
        <v/>
      </c>
      <c r="F101" s="11">
        <f>SUM(F99:F100)</f>
        <v/>
      </c>
      <c r="G101" s="11">
        <f>SUM(G99:G100)</f>
        <v/>
      </c>
    </row>
    <row r="102" ht="18" customHeight="1">
      <c r="A102" s="5" t="inlineStr">
        <is>
          <t xml:space="preserve">  Vérifications règlementaires</t>
        </is>
      </c>
    </row>
    <row r="103" ht="13.5" customHeight="1">
      <c r="D103" s="12" t="inlineStr">
        <is>
          <t>— Aucune facture —</t>
        </is>
      </c>
    </row>
    <row r="104" ht="15.8" customHeight="1">
      <c r="A104" s="10" t="inlineStr">
        <is>
          <t xml:space="preserve">    Sous-total — Vérifications règlementaires</t>
        </is>
      </c>
      <c r="E104" s="11" t="n">
        <v>667.0599999999999</v>
      </c>
    </row>
    <row r="105" ht="18" customHeight="1">
      <c r="A105" s="5" t="inlineStr">
        <is>
          <t xml:space="preserve">  Portails</t>
        </is>
      </c>
    </row>
    <row r="106" ht="15.05" customHeight="1">
      <c r="A106" s="6" t="inlineStr">
        <is>
          <t>SGC FERMETURE</t>
        </is>
      </c>
      <c r="B106" s="9" t="n">
        <v>45867</v>
      </c>
      <c r="C106" s="6" t="inlineStr">
        <is>
          <t>2994</t>
        </is>
      </c>
      <c r="D106" s="6" t="inlineStr">
        <is>
          <t>ENTRETIEN PORTAILS ET BARRIERES</t>
        </is>
      </c>
      <c r="E106" s="8" t="n">
        <v>333.53</v>
      </c>
      <c r="F106" s="8" t="n">
        <v>66.70999999999999</v>
      </c>
      <c r="G106" s="8" t="n">
        <v>400.24</v>
      </c>
    </row>
    <row r="107" ht="15.8" customHeight="1">
      <c r="A107" s="10" t="inlineStr">
        <is>
          <t xml:space="preserve">    Sous-total — Portails</t>
        </is>
      </c>
      <c r="E107" s="11">
        <f>SUM(E106:E106)</f>
        <v/>
      </c>
      <c r="F107" s="11">
        <f>SUM(F106:F106)</f>
        <v/>
      </c>
      <c r="G107" s="11">
        <f>SUM(G106:G106)</f>
        <v/>
      </c>
    </row>
    <row r="108" ht="21.75" customHeight="1">
      <c r="A108" s="4" t="inlineStr">
        <is>
          <t>── ASSURANCES + JURIDIQUE ──</t>
        </is>
      </c>
    </row>
    <row r="109" ht="18" customHeight="1">
      <c r="A109" s="5" t="inlineStr">
        <is>
          <t xml:space="preserve">  Assurances</t>
        </is>
      </c>
    </row>
    <row r="110" ht="15.05" customHeight="1">
      <c r="A110" s="6" t="inlineStr">
        <is>
          <t>WTW</t>
        </is>
      </c>
      <c r="B110" s="9" t="n">
        <v>45799</v>
      </c>
      <c r="C110" s="6" t="inlineStr"/>
      <c r="D110" s="6" t="inlineStr">
        <is>
          <t>BATIMENT A / 'Du 30 mai 2025 au 29 mai 2026</t>
        </is>
      </c>
      <c r="E110" s="8" t="n">
        <v>40320.47</v>
      </c>
      <c r="F110" s="13" t="n"/>
      <c r="G110" s="8" t="n">
        <v>40320.47</v>
      </c>
    </row>
    <row r="111" ht="15.8" customHeight="1">
      <c r="A111" s="10" t="inlineStr">
        <is>
          <t xml:space="preserve">    Sous-total — Assurances</t>
        </is>
      </c>
      <c r="E111" s="11">
        <f>SUM(E110:E110)</f>
        <v/>
      </c>
      <c r="F111" s="11">
        <f>SUM(F110:F110)</f>
        <v/>
      </c>
      <c r="G111" s="11">
        <f>SUM(G110:G110)</f>
        <v/>
      </c>
    </row>
    <row r="112" ht="21.75" customHeight="1">
      <c r="A112" s="4" t="inlineStr">
        <is>
          <t>── CHARGES NON RECUPERABLES ──</t>
        </is>
      </c>
    </row>
    <row r="113" ht="18" customHeight="1">
      <c r="A113" s="5" t="inlineStr">
        <is>
          <t xml:space="preserve">  Frais Bancaires</t>
        </is>
      </c>
    </row>
    <row r="114" ht="15.05" customHeight="1">
      <c r="A114" s="6" t="inlineStr">
        <is>
          <t>Caisse d'épargne</t>
        </is>
      </c>
      <c r="B114" s="9" t="n">
        <v>45839</v>
      </c>
      <c r="C114" s="6" t="inlineStr"/>
      <c r="D114" s="6" t="inlineStr">
        <is>
          <t>COMMISSIONS</t>
        </is>
      </c>
      <c r="E114" s="8" t="n">
        <v>55.77</v>
      </c>
      <c r="F114" s="13" t="n"/>
      <c r="G114" s="8" t="n">
        <v>55.77</v>
      </c>
    </row>
    <row r="115" ht="15.05" customHeight="1">
      <c r="A115" s="6" t="inlineStr">
        <is>
          <t>Caisse d'épargne</t>
        </is>
      </c>
      <c r="B115" s="9" t="n">
        <v>45848</v>
      </c>
      <c r="C115" s="6" t="inlineStr"/>
      <c r="D115" s="6" t="inlineStr">
        <is>
          <t xml:space="preserve">FORFAIT LIBRE DE CONVERGENCE </t>
        </is>
      </c>
      <c r="E115" s="8" t="n">
        <v>75.3</v>
      </c>
      <c r="F115" s="13" t="n"/>
      <c r="G115" s="8" t="n">
        <v>75.3</v>
      </c>
    </row>
    <row r="116" ht="15.05" customHeight="1">
      <c r="A116" s="6" t="inlineStr">
        <is>
          <t>Caisse d'épargne</t>
        </is>
      </c>
      <c r="B116" s="9" t="n">
        <v>45931</v>
      </c>
      <c r="C116" s="6" t="inlineStr"/>
      <c r="D116" s="6" t="inlineStr">
        <is>
          <t>COMMISSIONS</t>
        </is>
      </c>
      <c r="E116" s="8" t="n">
        <v>86.38</v>
      </c>
      <c r="F116" s="13" t="n"/>
      <c r="G116" s="8" t="n">
        <v>86.38</v>
      </c>
    </row>
    <row r="117" ht="15.05" customHeight="1">
      <c r="A117" s="6" t="inlineStr">
        <is>
          <t>Caisse d'épargne</t>
        </is>
      </c>
      <c r="B117" s="9" t="n">
        <v>45939</v>
      </c>
      <c r="C117" s="6" t="inlineStr"/>
      <c r="D117" s="6" t="inlineStr">
        <is>
          <t xml:space="preserve">FORFAIT LIBRE DE CONVERGENCE </t>
        </is>
      </c>
      <c r="E117" s="8" t="n">
        <v>75.3</v>
      </c>
      <c r="F117" s="13" t="n"/>
      <c r="G117" s="8" t="n">
        <v>75.3</v>
      </c>
    </row>
    <row r="118" ht="15.8" customHeight="1">
      <c r="A118" s="10" t="inlineStr">
        <is>
          <t xml:space="preserve">    Sous-total — Frais Bancaires</t>
        </is>
      </c>
      <c r="E118" s="11">
        <f>SUM(E114:E117)</f>
        <v/>
      </c>
      <c r="F118" s="11">
        <f>SUM(F114:F117)</f>
        <v/>
      </c>
      <c r="G118" s="11">
        <f>SUM(G114:G117)</f>
        <v/>
      </c>
    </row>
    <row r="119" ht="6" customHeight="1"/>
    <row r="120" ht="19.55" customHeight="1">
      <c r="A120" s="5" t="inlineStr">
        <is>
          <t>TOTAL — CHARGES NON RÉCUPÉRABLES</t>
        </is>
      </c>
      <c r="E120" s="14">
        <f>E118</f>
        <v/>
      </c>
    </row>
    <row r="121" ht="6" customHeight="1"/>
    <row r="122" ht="25.55" customHeight="1">
      <c r="A122" s="15" t="inlineStr">
        <is>
          <t>TOTAL GÉNÉRAL — CHARGES RÉCUPÉRABLES</t>
        </is>
      </c>
      <c r="E122" s="16">
        <f>E10+E21+E32+E37+E46+E50+E54+E59+E64+E77+E83+E88+E97+E101+E104+E107+E111</f>
        <v/>
      </c>
    </row>
  </sheetData>
  <mergeCells count="27">
    <mergeCell ref="A122:D122"/>
    <mergeCell ref="A97:D97"/>
    <mergeCell ref="A4:G4"/>
    <mergeCell ref="A38:G38"/>
    <mergeCell ref="A112:G112"/>
    <mergeCell ref="A10:D10"/>
    <mergeCell ref="A111:D111"/>
    <mergeCell ref="A77:D77"/>
    <mergeCell ref="A83:D83"/>
    <mergeCell ref="A64:D64"/>
    <mergeCell ref="A59:D59"/>
    <mergeCell ref="A107:D107"/>
    <mergeCell ref="A1:G1"/>
    <mergeCell ref="A88:D88"/>
    <mergeCell ref="A54:D54"/>
    <mergeCell ref="A108:G108"/>
    <mergeCell ref="A46:D46"/>
    <mergeCell ref="A118:D118"/>
    <mergeCell ref="A37:D37"/>
    <mergeCell ref="A120:D120"/>
    <mergeCell ref="A50:D50"/>
    <mergeCell ref="A101:D101"/>
    <mergeCell ref="A21:D21"/>
    <mergeCell ref="A104:D104"/>
    <mergeCell ref="A2:G2"/>
    <mergeCell ref="A33:G33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22" customWidth="1" min="5" max="5"/>
    <col width="16" customWidth="1" min="6" max="6"/>
    <col width="16" customWidth="1" min="7" max="7"/>
    <col width="12" customWidth="1" min="8" max="8"/>
    <col width="10" customWidth="1" min="9" max="9"/>
  </cols>
  <sheetData>
    <row r="1" ht="27.75" customHeight="1">
      <c r="A1" s="1" t="inlineStr">
        <is>
          <t>ORMES A — PARAMÈTRES SITE 2025</t>
        </is>
      </c>
    </row>
    <row r="2" ht="15.8" customHeight="1">
      <c r="A2" s="5" t="inlineStr">
        <is>
          <t>Site</t>
        </is>
      </c>
      <c r="C2" s="17" t="inlineStr">
        <is>
          <t>ORMES A</t>
        </is>
      </c>
    </row>
    <row r="3" ht="15.8" customHeight="1">
      <c r="A3" s="5" t="inlineStr">
        <is>
          <t>Surface totale site (m²)</t>
        </is>
      </c>
      <c r="C3" s="17" t="n">
        <v>29565.91</v>
      </c>
    </row>
    <row r="4" ht="15.8" customHeight="1">
      <c r="A4" s="5" t="inlineStr">
        <is>
          <t>Année</t>
        </is>
      </c>
      <c r="C4" s="17" t="n">
        <v>2025</v>
      </c>
    </row>
    <row r="5" ht="7.55" customHeight="1"/>
    <row r="6" ht="19.55" customHeight="1">
      <c r="A6" s="3" t="inlineStr">
        <is>
          <t>Lot</t>
        </is>
      </c>
      <c r="B6" s="3" t="inlineStr">
        <is>
          <t>Statut</t>
        </is>
      </c>
      <c r="C6" s="3" t="inlineStr">
        <is>
          <t>Surface (m²)</t>
        </is>
      </c>
      <c r="D6" s="3" t="inlineStr">
        <is>
          <t>Bâtiment</t>
        </is>
      </c>
      <c r="E6" s="3" t="inlineStr">
        <is>
          <t>Locataire</t>
        </is>
      </c>
      <c r="F6" s="3" t="inlineStr">
        <is>
          <t>Début de bail</t>
        </is>
      </c>
      <c r="G6" s="3" t="inlineStr">
        <is>
          <t>Fin de bail</t>
        </is>
      </c>
      <c r="H6" s="3" t="inlineStr">
        <is>
          <t>Jours 2025</t>
        </is>
      </c>
      <c r="I6" s="3" t="inlineStr">
        <is>
          <t>Prorata</t>
        </is>
      </c>
    </row>
    <row r="7" ht="15.05" customHeight="1">
      <c r="A7" s="17" t="inlineStr">
        <is>
          <t>C1 C2</t>
        </is>
      </c>
      <c r="B7" s="18" t="inlineStr">
        <is>
          <t>Occupé</t>
        </is>
      </c>
      <c r="C7" s="19" t="n">
        <v>9623</v>
      </c>
      <c r="D7" s="20" t="inlineStr"/>
      <c r="E7" s="21" t="inlineStr">
        <is>
          <t>ID LOGISTICS</t>
        </is>
      </c>
      <c r="F7" s="22" t="n">
        <v>45737</v>
      </c>
      <c r="G7" s="22" t="n">
        <v>50119</v>
      </c>
      <c r="H7" s="23">
        <f>MAX(0,MIN(DATE(2025,12,31),IF(G7="",DATE(2025,12,31),G7))-MAX(DATE(2025,1,1),IF(F7="",DATE(2025,1,1),F7))+1)</f>
        <v/>
      </c>
      <c r="I7" s="24">
        <f>H7/365</f>
        <v/>
      </c>
    </row>
    <row r="8" ht="15.05" customHeight="1">
      <c r="A8" s="17" t="inlineStr">
        <is>
          <t>C3 C4 C5</t>
        </is>
      </c>
      <c r="B8" s="25" t="inlineStr">
        <is>
          <t>Vacant</t>
        </is>
      </c>
      <c r="C8" s="19" t="n">
        <v>19942.91</v>
      </c>
      <c r="D8" s="20" t="inlineStr"/>
      <c r="E8" s="21" t="inlineStr"/>
      <c r="F8" s="20" t="n"/>
      <c r="G8" s="20" t="n"/>
      <c r="H8" s="23">
        <f>MAX(0,MIN(DATE(2025,12,31),IF(G8="",DATE(2025,12,31),G8))-MAX(DATE(2025,1,1),IF(F8="",DATE(2025,1,1),F8))+1)</f>
        <v/>
      </c>
      <c r="I8" s="24">
        <f>H8/365</f>
        <v/>
      </c>
    </row>
    <row r="9" ht="7.55" customHeight="1"/>
    <row r="10" ht="18" customHeight="1">
      <c r="A10" s="26" t="inlineStr">
        <is>
          <t>Poste (lié au Récapitulatif)</t>
        </is>
      </c>
      <c r="C10" s="27" t="inlineStr">
        <is>
          <t>Montant HT (€)</t>
        </is>
      </c>
    </row>
    <row r="11" ht="15.05" customHeight="1">
      <c r="A11" s="28">
        <f>IFERROR(MID('Récapitulatif 2025'!A10,FIND(" — ",'Récapitulatif 2025'!A10)+4,100),"")</f>
        <v/>
      </c>
      <c r="C11" s="29">
        <f>'Récapitulatif 2025'!E10</f>
        <v/>
      </c>
    </row>
    <row r="12" ht="15.05" customHeight="1">
      <c r="A12" s="28">
        <f>IFERROR(MID('Récapitulatif 2025'!A21,FIND(" — ",'Récapitulatif 2025'!A21)+4,100),"")</f>
        <v/>
      </c>
      <c r="C12" s="29">
        <f>'Récapitulatif 2025'!E21</f>
        <v/>
      </c>
    </row>
    <row r="13" ht="15.05" customHeight="1">
      <c r="A13" s="28">
        <f>IFERROR(MID('Récapitulatif 2025'!A32,FIND(" — ",'Récapitulatif 2025'!A32)+4,100),"")</f>
        <v/>
      </c>
      <c r="C13" s="29">
        <f>'Récapitulatif 2025'!E32</f>
        <v/>
      </c>
    </row>
    <row r="14" ht="15.05" customHeight="1">
      <c r="A14" s="28">
        <f>IFERROR(MID('Récapitulatif 2025'!A37,FIND(" — ",'Récapitulatif 2025'!A37)+4,100),"")</f>
        <v/>
      </c>
      <c r="C14" s="29">
        <f>'Récapitulatif 2025'!E37</f>
        <v/>
      </c>
    </row>
    <row r="15" ht="15.05" customHeight="1">
      <c r="A15" s="28">
        <f>IFERROR(MID('Récapitulatif 2025'!A46,FIND(" — ",'Récapitulatif 2025'!A46)+4,100),"")</f>
        <v/>
      </c>
      <c r="C15" s="29">
        <f>'Récapitulatif 2025'!E46</f>
        <v/>
      </c>
    </row>
    <row r="16" ht="15.05" customHeight="1">
      <c r="A16" s="28">
        <f>IFERROR(MID('Récapitulatif 2025'!A50,FIND(" — ",'Récapitulatif 2025'!A50)+4,100),"")</f>
        <v/>
      </c>
      <c r="C16" s="29">
        <f>'Récapitulatif 2025'!E50</f>
        <v/>
      </c>
    </row>
    <row r="17" ht="15.05" customHeight="1">
      <c r="A17" s="28">
        <f>IFERROR(MID('Récapitulatif 2025'!A54,FIND(" — ",'Récapitulatif 2025'!A54)+4,100),"")</f>
        <v/>
      </c>
      <c r="C17" s="29">
        <f>'Récapitulatif 2025'!E54</f>
        <v/>
      </c>
    </row>
    <row r="18" ht="15.05" customHeight="1">
      <c r="A18" s="28">
        <f>IFERROR(MID('Récapitulatif 2025'!A59,FIND(" — ",'Récapitulatif 2025'!A59)+4,100),"")</f>
        <v/>
      </c>
      <c r="C18" s="29">
        <f>'Récapitulatif 2025'!E59</f>
        <v/>
      </c>
    </row>
    <row r="19" ht="15.05" customHeight="1">
      <c r="A19" s="28">
        <f>IFERROR(MID('Récapitulatif 2025'!A64,FIND(" — ",'Récapitulatif 2025'!A64)+4,100),"")</f>
        <v/>
      </c>
      <c r="C19" s="29">
        <f>'Récapitulatif 2025'!E64</f>
        <v/>
      </c>
    </row>
    <row r="20" ht="15.05" customHeight="1">
      <c r="A20" s="28">
        <f>IFERROR(MID('Récapitulatif 2025'!A77,FIND(" — ",'Récapitulatif 2025'!A77)+4,100),"")</f>
        <v/>
      </c>
      <c r="C20" s="29">
        <f>'Récapitulatif 2025'!E77</f>
        <v/>
      </c>
    </row>
    <row r="21" ht="15.05" customHeight="1">
      <c r="A21" s="28">
        <f>IFERROR(MID('Récapitulatif 2025'!A83,FIND(" — ",'Récapitulatif 2025'!A83)+4,100),"")</f>
        <v/>
      </c>
      <c r="C21" s="29">
        <f>'Récapitulatif 2025'!E83</f>
        <v/>
      </c>
    </row>
    <row r="22" ht="15.05" customHeight="1">
      <c r="A22" s="28">
        <f>IFERROR(MID('Récapitulatif 2025'!A88,FIND(" — ",'Récapitulatif 2025'!A88)+4,100),"")</f>
        <v/>
      </c>
      <c r="C22" s="29">
        <f>'Récapitulatif 2025'!E88</f>
        <v/>
      </c>
    </row>
    <row r="23" ht="15.05" customHeight="1">
      <c r="A23" s="28">
        <f>IFERROR(MID('Récapitulatif 2025'!A97,FIND(" — ",'Récapitulatif 2025'!A97)+4,100),"")</f>
        <v/>
      </c>
      <c r="C23" s="29">
        <f>'Récapitulatif 2025'!E97</f>
        <v/>
      </c>
    </row>
    <row r="24" ht="15.05" customHeight="1">
      <c r="A24" s="28">
        <f>IFERROR(MID('Récapitulatif 2025'!A101,FIND(" — ",'Récapitulatif 2025'!A101)+4,100),"")</f>
        <v/>
      </c>
      <c r="C24" s="29">
        <f>'Récapitulatif 2025'!E101</f>
        <v/>
      </c>
    </row>
    <row r="25" ht="15.05" customHeight="1">
      <c r="A25" s="28">
        <f>IFERROR(MID('Récapitulatif 2025'!A104,FIND(" — ",'Récapitulatif 2025'!A104)+4,100),"")</f>
        <v/>
      </c>
      <c r="C25" s="29">
        <f>'Récapitulatif 2025'!E104</f>
        <v/>
      </c>
    </row>
    <row r="26" ht="15.05" customHeight="1">
      <c r="A26" s="28">
        <f>IFERROR(MID('Récapitulatif 2025'!A107,FIND(" — ",'Récapitulatif 2025'!A107)+4,100),"")</f>
        <v/>
      </c>
      <c r="C26" s="29">
        <f>'Récapitulatif 2025'!E107</f>
        <v/>
      </c>
    </row>
    <row r="27" ht="15.05" customHeight="1">
      <c r="A27" s="28">
        <f>IFERROR(MID('Récapitulatif 2025'!A111,FIND(" — ",'Récapitulatif 2025'!A111)+4,100),"")</f>
        <v/>
      </c>
      <c r="C27" s="29">
        <f>'Récapitulatif 2025'!E111</f>
        <v/>
      </c>
    </row>
    <row r="28" ht="15.05" customHeight="1">
      <c r="A28" s="28">
        <f>IFERROR(MID('Récapitulatif 2025'!A118,FIND(" — ",'Récapitulatif 2025'!A118)+4,100),"")</f>
        <v/>
      </c>
      <c r="C28" s="29">
        <f>'Récapitulatif 2025'!E118</f>
        <v/>
      </c>
    </row>
  </sheetData>
  <mergeCells count="2">
    <mergeCell ref="A1:I1"/>
    <mergeCell ref="A10:B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2" customWidth="1" min="5" max="5"/>
    <col width="15" customWidth="1" min="6" max="6"/>
  </cols>
  <sheetData>
    <row r="1" ht="25.55" customHeight="1">
      <c r="A1" s="30" t="inlineStr">
        <is>
          <t>RÉGULARISATION DE CHARGES — C1 C2</t>
        </is>
      </c>
    </row>
    <row r="2" ht="15.8" customHeight="1">
      <c r="A2" s="2" t="inlineStr">
        <is>
          <t>Site : ORMES A  |  Année 2025</t>
        </is>
      </c>
    </row>
    <row r="3" ht="15.8" customHeight="1">
      <c r="A3" s="2">
        <f>Paramètres!$B$7&amp;IF(Paramètres!$E$7&lt;&gt;""," — "&amp;Paramètres!$E$7,"")</f>
        <v/>
      </c>
    </row>
    <row r="4" ht="19.55" customHeight="1">
      <c r="A4" s="3" t="inlineStr">
        <is>
          <t>Poste</t>
        </is>
      </c>
      <c r="B4" s="3" t="inlineStr">
        <is>
          <t>Clé répartition</t>
        </is>
      </c>
      <c r="C4" s="3" t="inlineStr">
        <is>
          <t>Total site HT</t>
        </is>
      </c>
      <c r="D4" s="3" t="inlineStr">
        <is>
          <t>QP annuelle</t>
        </is>
      </c>
      <c r="E4" s="3" t="inlineStr">
        <is>
          <t>Période</t>
        </is>
      </c>
      <c r="F4" s="3" t="inlineStr">
        <is>
          <t>QP locataire</t>
        </is>
      </c>
    </row>
    <row r="5" ht="18" customHeight="1">
      <c r="A5" s="5" t="inlineStr">
        <is>
          <t>FLUIDES</t>
        </is>
      </c>
    </row>
    <row r="6" ht="15.05" customHeight="1">
      <c r="A6" s="31" t="inlineStr">
        <is>
          <t>Eau</t>
        </is>
      </c>
      <c r="B6" s="32">
        <f>Paramètres!$C$7/Paramètres!$C$3</f>
        <v/>
      </c>
      <c r="C6" s="33">
        <f>'Récapitulatif 2025'!E10</f>
        <v/>
      </c>
      <c r="D6" s="33">
        <f>B6*C6</f>
        <v/>
      </c>
      <c r="E6" s="34">
        <f>Paramètres!$H$7/365</f>
        <v/>
      </c>
      <c r="F6" s="33">
        <f>D6*E6</f>
        <v/>
      </c>
    </row>
    <row r="7" ht="15.05" customHeight="1">
      <c r="A7" s="31" t="inlineStr">
        <is>
          <t>Electricité</t>
        </is>
      </c>
      <c r="B7" s="32">
        <f>Paramètres!$C$7/Paramètres!$C$3</f>
        <v/>
      </c>
      <c r="C7" s="33">
        <f>'Récapitulatif 2025'!E21</f>
        <v/>
      </c>
      <c r="D7" s="33">
        <f>B7*C7</f>
        <v/>
      </c>
      <c r="E7" s="34">
        <f>Paramètres!$H$7/365</f>
        <v/>
      </c>
      <c r="F7" s="33">
        <f>D7*E7</f>
        <v/>
      </c>
    </row>
    <row r="8" ht="15.05" customHeight="1">
      <c r="A8" s="31" t="inlineStr">
        <is>
          <t>Gaz</t>
        </is>
      </c>
      <c r="B8" s="32">
        <f>Paramètres!$C$7/Paramètres!$C$3</f>
        <v/>
      </c>
      <c r="C8" s="33">
        <f>'Récapitulatif 2025'!E32</f>
        <v/>
      </c>
      <c r="D8" s="33">
        <f>B8*C8</f>
        <v/>
      </c>
      <c r="E8" s="34">
        <f>Paramètres!$H$7/365</f>
        <v/>
      </c>
      <c r="F8" s="33">
        <f>D8*E8</f>
        <v/>
      </c>
    </row>
    <row r="9" ht="18" customHeight="1">
      <c r="A9" s="10" t="inlineStr">
        <is>
          <t>Sous-total — FLUIDES</t>
        </is>
      </c>
      <c r="C9" s="11">
        <f>SUM(C6:C8)</f>
        <v/>
      </c>
      <c r="D9" s="11">
        <f>SUM(D6:D8)</f>
        <v/>
      </c>
      <c r="E9" s="35" t="n"/>
      <c r="F9" s="11">
        <f>SUM(F6:F8)</f>
        <v/>
      </c>
    </row>
    <row r="10" ht="18" customHeight="1">
      <c r="A10" s="5" t="inlineStr">
        <is>
          <t>TRAVAUX</t>
        </is>
      </c>
    </row>
    <row r="11" ht="15.05" customHeight="1">
      <c r="A11" s="31" t="inlineStr">
        <is>
          <t>Entretien Courant</t>
        </is>
      </c>
      <c r="B11" s="32">
        <f>Paramètres!$C$7/Paramètres!$C$3</f>
        <v/>
      </c>
      <c r="C11" s="33">
        <f>'Récapitulatif 2025'!E37</f>
        <v/>
      </c>
      <c r="D11" s="33">
        <f>B11*C11</f>
        <v/>
      </c>
      <c r="E11" s="34">
        <f>Paramètres!$H$7/365</f>
        <v/>
      </c>
      <c r="F11" s="33">
        <f>D11*E11</f>
        <v/>
      </c>
    </row>
    <row r="12" ht="18" customHeight="1">
      <c r="A12" s="10" t="inlineStr">
        <is>
          <t>Sous-total — TRAVAUX</t>
        </is>
      </c>
      <c r="C12" s="11">
        <f>SUM(C11:C11)</f>
        <v/>
      </c>
      <c r="D12" s="11">
        <f>SUM(D11:D11)</f>
        <v/>
      </c>
      <c r="E12" s="35" t="n"/>
      <c r="F12" s="11">
        <f>SUM(F11:F11)</f>
        <v/>
      </c>
    </row>
    <row r="13" ht="18" customHeight="1">
      <c r="A13" s="5" t="inlineStr">
        <is>
          <t>CONTRAT MAINTENANCE</t>
        </is>
      </c>
    </row>
    <row r="14" ht="15.05" customHeight="1">
      <c r="A14" s="31" t="inlineStr">
        <is>
          <t>Espaces Verts</t>
        </is>
      </c>
      <c r="B14" s="32">
        <f>Paramètres!$C$7/Paramètres!$C$3</f>
        <v/>
      </c>
      <c r="C14" s="33">
        <f>'Récapitulatif 2025'!E46</f>
        <v/>
      </c>
      <c r="D14" s="33">
        <f>B14*C14</f>
        <v/>
      </c>
      <c r="E14" s="34">
        <f>Paramètres!$H$7/365</f>
        <v/>
      </c>
      <c r="F14" s="33">
        <f>D14*E14</f>
        <v/>
      </c>
    </row>
    <row r="15" ht="15.05" customHeight="1">
      <c r="A15" s="31" t="inlineStr">
        <is>
          <t>CVC</t>
        </is>
      </c>
      <c r="B15" s="32">
        <f>Paramètres!$C$7/Paramètres!$C$3</f>
        <v/>
      </c>
      <c r="C15" s="33">
        <f>'Récapitulatif 2025'!E50</f>
        <v/>
      </c>
      <c r="D15" s="33">
        <f>B15*C15</f>
        <v/>
      </c>
      <c r="E15" s="34">
        <f>Paramètres!$H$7/365</f>
        <v/>
      </c>
      <c r="F15" s="33">
        <f>D15*E15</f>
        <v/>
      </c>
    </row>
    <row r="16" ht="15.05" customHeight="1">
      <c r="A16" s="31" t="inlineStr">
        <is>
          <t>Sécurité</t>
        </is>
      </c>
      <c r="B16" s="32">
        <f>Paramètres!$C$7/Paramètres!$C$3</f>
        <v/>
      </c>
      <c r="C16" s="33">
        <f>'Récapitulatif 2025'!E54</f>
        <v/>
      </c>
      <c r="D16" s="33">
        <f>B16*C16</f>
        <v/>
      </c>
      <c r="E16" s="34">
        <f>Paramètres!$H$7/365</f>
        <v/>
      </c>
      <c r="F16" s="33">
        <f>D16*E16</f>
        <v/>
      </c>
    </row>
    <row r="17" ht="15.05" customHeight="1">
      <c r="A17" s="31" t="inlineStr">
        <is>
          <t>SSI</t>
        </is>
      </c>
      <c r="B17" s="32">
        <f>Paramètres!$C$7/Paramètres!$C$3</f>
        <v/>
      </c>
      <c r="C17" s="33">
        <f>'Récapitulatif 2025'!E59</f>
        <v/>
      </c>
      <c r="D17" s="33">
        <f>B17*C17</f>
        <v/>
      </c>
      <c r="E17" s="34">
        <f>Paramètres!$H$7/365</f>
        <v/>
      </c>
      <c r="F17" s="33">
        <f>D17*E17</f>
        <v/>
      </c>
    </row>
    <row r="18" ht="15.05" customHeight="1">
      <c r="A18" s="31" t="inlineStr">
        <is>
          <t>Toitures</t>
        </is>
      </c>
      <c r="B18" s="32">
        <f>Paramètres!$C$7/Paramètres!$C$3</f>
        <v/>
      </c>
      <c r="C18" s="33">
        <f>'Récapitulatif 2025'!E64</f>
        <v/>
      </c>
      <c r="D18" s="33">
        <f>B18*C18</f>
        <v/>
      </c>
      <c r="E18" s="34">
        <f>Paramètres!$H$7/365</f>
        <v/>
      </c>
      <c r="F18" s="33">
        <f>D18*E18</f>
        <v/>
      </c>
    </row>
    <row r="19" ht="15.05" customHeight="1">
      <c r="A19" s="31" t="inlineStr">
        <is>
          <t>SPK / RIA / PI</t>
        </is>
      </c>
      <c r="B19" s="32">
        <f>Paramètres!$C$7/Paramètres!$C$3</f>
        <v/>
      </c>
      <c r="C19" s="33">
        <f>'Récapitulatif 2025'!E77</f>
        <v/>
      </c>
      <c r="D19" s="33">
        <f>B19*C19</f>
        <v/>
      </c>
      <c r="E19" s="34">
        <f>Paramètres!$H$7/365</f>
        <v/>
      </c>
      <c r="F19" s="33">
        <f>D19*E19</f>
        <v/>
      </c>
    </row>
    <row r="20" ht="15.05" customHeight="1">
      <c r="A20" s="31" t="inlineStr">
        <is>
          <t>Installations électriques</t>
        </is>
      </c>
      <c r="B20" s="32">
        <f>Paramètres!$C$7/35730.0</f>
        <v/>
      </c>
      <c r="C20" s="33">
        <f>'Récapitulatif 2025'!E83</f>
        <v/>
      </c>
      <c r="D20" s="33">
        <f>B20*C20</f>
        <v/>
      </c>
      <c r="E20" s="34">
        <f>Paramètres!$H$7/365</f>
        <v/>
      </c>
      <c r="F20" s="33">
        <f>D20*E20</f>
        <v/>
      </c>
    </row>
    <row r="21" ht="15.05" customHeight="1">
      <c r="A21" s="31" t="inlineStr">
        <is>
          <t>Protection Foudre</t>
        </is>
      </c>
      <c r="B21" s="32">
        <f>Paramètres!$C$7/23820.0</f>
        <v/>
      </c>
      <c r="C21" s="33">
        <f>'Récapitulatif 2025'!E88</f>
        <v/>
      </c>
      <c r="D21" s="33">
        <f>B21*C21</f>
        <v/>
      </c>
      <c r="E21" s="34">
        <f>Paramètres!$H$7/365</f>
        <v/>
      </c>
      <c r="F21" s="33">
        <f>D21*E21</f>
        <v/>
      </c>
    </row>
    <row r="22" ht="15.05" customHeight="1">
      <c r="A22" s="31" t="inlineStr">
        <is>
          <t>GTB</t>
        </is>
      </c>
      <c r="B22" s="32">
        <f>Paramètres!$C$7/Paramètres!$C$3</f>
        <v/>
      </c>
      <c r="C22" s="33">
        <f>'Récapitulatif 2025'!E97</f>
        <v/>
      </c>
      <c r="D22" s="33">
        <f>B22*C22</f>
        <v/>
      </c>
      <c r="E22" s="34">
        <f>Paramètres!$H$7/365</f>
        <v/>
      </c>
      <c r="F22" s="33">
        <f>D22*E22</f>
        <v/>
      </c>
    </row>
    <row r="23" ht="15.05" customHeight="1">
      <c r="A23" s="31" t="inlineStr">
        <is>
          <t>Détection Gaz</t>
        </is>
      </c>
      <c r="B23" s="32">
        <f>Paramètres!$C$7/Paramètres!$C$3</f>
        <v/>
      </c>
      <c r="C23" s="33">
        <f>'Récapitulatif 2025'!E101</f>
        <v/>
      </c>
      <c r="D23" s="33">
        <f>B23*C23</f>
        <v/>
      </c>
      <c r="E23" s="34">
        <f>Paramètres!$H$7/365</f>
        <v/>
      </c>
      <c r="F23" s="33">
        <f>D23*E23</f>
        <v/>
      </c>
    </row>
    <row r="24" ht="15.05" customHeight="1">
      <c r="A24" s="31" t="inlineStr">
        <is>
          <t>Vérifications règlementaires</t>
        </is>
      </c>
      <c r="B24" s="32">
        <f>Paramètres!$C$7/19945.0</f>
        <v/>
      </c>
      <c r="C24" s="33">
        <f>'Récapitulatif 2025'!E104</f>
        <v/>
      </c>
      <c r="D24" s="33">
        <f>B24*C24</f>
        <v/>
      </c>
      <c r="E24" s="34">
        <f>Paramètres!$H$7/365</f>
        <v/>
      </c>
      <c r="F24" s="33">
        <f>D24*E24</f>
        <v/>
      </c>
    </row>
    <row r="25" ht="15.05" customHeight="1">
      <c r="A25" s="31" t="inlineStr">
        <is>
          <t>Portails</t>
        </is>
      </c>
      <c r="B25" s="32">
        <f>Paramètres!$C$7/Paramètres!$C$3</f>
        <v/>
      </c>
      <c r="C25" s="33">
        <f>'Récapitulatif 2025'!E107</f>
        <v/>
      </c>
      <c r="D25" s="33">
        <f>B25*C25</f>
        <v/>
      </c>
      <c r="E25" s="34">
        <f>Paramètres!$H$7/365</f>
        <v/>
      </c>
      <c r="F25" s="33">
        <f>D25*E25</f>
        <v/>
      </c>
    </row>
    <row r="26" ht="18" customHeight="1">
      <c r="A26" s="10" t="inlineStr">
        <is>
          <t>Sous-total — CONTRAT MAINTENANCE</t>
        </is>
      </c>
      <c r="C26" s="11">
        <f>SUM(C14:C25)</f>
        <v/>
      </c>
      <c r="D26" s="11">
        <f>SUM(D14:D25)</f>
        <v/>
      </c>
      <c r="E26" s="35" t="n"/>
      <c r="F26" s="11">
        <f>SUM(F14:F25)</f>
        <v/>
      </c>
    </row>
    <row r="27" ht="18" customHeight="1">
      <c r="A27" s="5" t="inlineStr">
        <is>
          <t>ASSURANCES + JURIDIQUE</t>
        </is>
      </c>
    </row>
    <row r="28" ht="15.05" customHeight="1">
      <c r="A28" s="31" t="inlineStr">
        <is>
          <t>Assurances</t>
        </is>
      </c>
      <c r="B28" s="32">
        <f>Paramètres!$C$7/Paramètres!$C$3</f>
        <v/>
      </c>
      <c r="C28" s="33">
        <f>'Récapitulatif 2025'!E111</f>
        <v/>
      </c>
      <c r="D28" s="33">
        <f>B28*C28</f>
        <v/>
      </c>
      <c r="E28" s="34">
        <f>Paramètres!$H$7/365</f>
        <v/>
      </c>
      <c r="F28" s="33">
        <f>D28*E28</f>
        <v/>
      </c>
    </row>
    <row r="29" ht="18" customHeight="1">
      <c r="A29" s="10" t="inlineStr">
        <is>
          <t>Sous-total — ASSURANCES + JURIDIQUE</t>
        </is>
      </c>
      <c r="C29" s="11">
        <f>SUM(C28:C28)</f>
        <v/>
      </c>
      <c r="D29" s="11">
        <f>SUM(D28:D28)</f>
        <v/>
      </c>
      <c r="E29" s="35" t="n"/>
      <c r="F29" s="11">
        <f>SUM(F28:F28)</f>
        <v/>
      </c>
    </row>
    <row r="30" ht="6" customHeight="1"/>
    <row r="31" ht="18" customHeight="1">
      <c r="A31" s="5" t="inlineStr">
        <is>
          <t>HONORAIRES</t>
        </is>
      </c>
    </row>
    <row r="32" ht="15.05" customHeight="1">
      <c r="A32" s="31" t="inlineStr">
        <is>
          <t>Honoraires Gestion Technique</t>
        </is>
      </c>
      <c r="D32" s="36" t="n"/>
      <c r="E32" s="37" t="n">
        <v>1</v>
      </c>
      <c r="F32" s="33">
        <f>IF(D32="","",D32*E32)</f>
        <v/>
      </c>
    </row>
    <row r="33" ht="18" customHeight="1">
      <c r="A33" s="10" t="inlineStr">
        <is>
          <t>Sous-total — HONORAIRES</t>
        </is>
      </c>
      <c r="C33" s="11">
        <f>SUM(C32:C32)</f>
        <v/>
      </c>
      <c r="D33" s="11">
        <f>SUM(D32:D32)</f>
        <v/>
      </c>
      <c r="E33" s="35" t="n"/>
      <c r="F33" s="11">
        <f>SUM(F32:F32)</f>
        <v/>
      </c>
    </row>
    <row r="34" ht="7.55" customHeight="1"/>
    <row r="35" ht="21.75" customHeight="1">
      <c r="A35" s="15" t="inlineStr">
        <is>
          <t>TOTAL CHARGES RÉCUPÉRABLES RÉELLES (€ HT)</t>
        </is>
      </c>
      <c r="C35" s="16">
        <f>C9+C12+C26+C29+C33</f>
        <v/>
      </c>
      <c r="D35" s="16">
        <f>D9+D12+D26+D29+D33</f>
        <v/>
      </c>
      <c r="E35" s="38" t="n"/>
      <c r="F35" s="16">
        <f>F9+F12+F26+F29+F33</f>
        <v/>
      </c>
    </row>
    <row r="36" ht="7.55" customHeight="1"/>
    <row r="37" ht="19.55" customHeight="1">
      <c r="A37" s="5" t="inlineStr">
        <is>
          <t>Provisions pour charges versées</t>
        </is>
      </c>
      <c r="C37" s="39" t="n"/>
      <c r="D37" s="27" t="inlineStr">
        <is>
          <t>Montant annuel (€)</t>
        </is>
      </c>
      <c r="E37" s="39" t="n"/>
      <c r="F37" s="27" t="inlineStr">
        <is>
          <t>Montant locataire (€)</t>
        </is>
      </c>
    </row>
    <row r="38" ht="15.8" customHeight="1">
      <c r="A38" s="21" t="inlineStr">
        <is>
          <t xml:space="preserve">  1er trimestre (T1)</t>
        </is>
      </c>
      <c r="F38" s="33" t="n">
        <v>2990.6</v>
      </c>
    </row>
    <row r="39" ht="15.8" customHeight="1">
      <c r="A39" s="21" t="inlineStr">
        <is>
          <t xml:space="preserve">  2e trimestre (T2)</t>
        </is>
      </c>
      <c r="F39" s="33" t="n">
        <v>25284.11</v>
      </c>
    </row>
    <row r="40" ht="15.8" customHeight="1">
      <c r="A40" s="21" t="inlineStr">
        <is>
          <t xml:space="preserve">  3e trimestre (T3)</t>
        </is>
      </c>
      <c r="F40" s="33" t="n">
        <v>28376.42</v>
      </c>
    </row>
    <row r="41" ht="15.8" customHeight="1">
      <c r="A41" s="21" t="inlineStr">
        <is>
          <t xml:space="preserve">  4e trimestre (T4)</t>
        </is>
      </c>
      <c r="F41" s="33" t="n">
        <v>28376.42</v>
      </c>
    </row>
    <row r="42" ht="18" customHeight="1">
      <c r="A42" s="10" t="inlineStr">
        <is>
          <t>Total provisions pour charges versées →</t>
        </is>
      </c>
      <c r="D42" s="11">
        <f>SUM(D38:D41)</f>
        <v/>
      </c>
      <c r="E42" s="35" t="n"/>
      <c r="F42" s="11">
        <f>SUM(F38:F41)</f>
        <v/>
      </c>
    </row>
    <row r="43" ht="7.55" customHeight="1"/>
    <row r="44" ht="21.75" customHeight="1">
      <c r="A44" s="40">
        <f>IF(F35-F42&gt;0,"SOLDE DÉBITEUR","SOLDE CRÉDITEUR")</f>
        <v/>
      </c>
      <c r="D44" s="41">
        <f>D35-D42</f>
        <v/>
      </c>
      <c r="E44" s="39" t="n"/>
      <c r="F44" s="41">
        <f>F35-F42</f>
        <v/>
      </c>
    </row>
    <row r="46" ht="27.75" customHeight="1">
      <c r="A46" s="42" t="inlineStr">
        <is>
          <t>ℹ  Clé répartition = surface lot ÷ surface totale site. Période = nombre de jours d'occupation ÷ 365.</t>
        </is>
      </c>
    </row>
  </sheetData>
  <mergeCells count="18">
    <mergeCell ref="A2:F2"/>
    <mergeCell ref="A26:B26"/>
    <mergeCell ref="A42:C42"/>
    <mergeCell ref="A10:F10"/>
    <mergeCell ref="A29:B29"/>
    <mergeCell ref="A44:C44"/>
    <mergeCell ref="A13:F13"/>
    <mergeCell ref="A46:F46"/>
    <mergeCell ref="A33:B33"/>
    <mergeCell ref="A9:B9"/>
    <mergeCell ref="A1:F1"/>
    <mergeCell ref="A5:F5"/>
    <mergeCell ref="A27:F27"/>
    <mergeCell ref="A31:F31"/>
    <mergeCell ref="A37:B37"/>
    <mergeCell ref="A3:F3"/>
    <mergeCell ref="A35:B35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2" customWidth="1" min="5" max="5"/>
    <col width="15" customWidth="1" min="6" max="6"/>
  </cols>
  <sheetData>
    <row r="1" ht="25.55" customHeight="1">
      <c r="A1" s="30" t="inlineStr">
        <is>
          <t>RÉGULARISATION DE CHARGES — C3 C4 C5</t>
        </is>
      </c>
    </row>
    <row r="2" ht="15.8" customHeight="1">
      <c r="A2" s="2" t="inlineStr">
        <is>
          <t>Site : ORMES A  |  Année 2025</t>
        </is>
      </c>
    </row>
    <row r="3" ht="15.8" customHeight="1">
      <c r="A3" s="2">
        <f>Paramètres!$B$8&amp;IF(Paramètres!$E$8&lt;&gt;""," — "&amp;Paramètres!$E$8,"")</f>
        <v/>
      </c>
    </row>
    <row r="4" ht="19.55" customHeight="1">
      <c r="A4" s="3" t="inlineStr">
        <is>
          <t>Poste</t>
        </is>
      </c>
      <c r="B4" s="3" t="inlineStr">
        <is>
          <t>Clé répartition</t>
        </is>
      </c>
      <c r="C4" s="3" t="inlineStr">
        <is>
          <t>Total site HT</t>
        </is>
      </c>
      <c r="D4" s="3" t="inlineStr">
        <is>
          <t>QP annuelle</t>
        </is>
      </c>
      <c r="E4" s="3" t="inlineStr">
        <is>
          <t>Période</t>
        </is>
      </c>
      <c r="F4" s="3" t="inlineStr">
        <is>
          <t>QP locataire</t>
        </is>
      </c>
    </row>
    <row r="5" ht="18" customHeight="1">
      <c r="A5" s="5" t="inlineStr">
        <is>
          <t>FLUIDES</t>
        </is>
      </c>
    </row>
    <row r="6" ht="15.05" customHeight="1">
      <c r="A6" s="31" t="inlineStr">
        <is>
          <t>Eau</t>
        </is>
      </c>
      <c r="B6" s="32">
        <f>Paramètres!$C$8/Paramètres!$C$3</f>
        <v/>
      </c>
      <c r="C6" s="33">
        <f>'Récapitulatif 2025'!E10</f>
        <v/>
      </c>
      <c r="D6" s="33">
        <f>B6*C6</f>
        <v/>
      </c>
      <c r="E6" s="34">
        <f>Paramètres!$H$8/365</f>
        <v/>
      </c>
      <c r="F6" s="33">
        <f>D6*E6</f>
        <v/>
      </c>
    </row>
    <row r="7" ht="15.05" customHeight="1">
      <c r="A7" s="31" t="inlineStr">
        <is>
          <t>Electricité</t>
        </is>
      </c>
      <c r="B7" s="32">
        <f>Paramètres!$C$8/Paramètres!$C$3</f>
        <v/>
      </c>
      <c r="C7" s="33">
        <f>'Récapitulatif 2025'!E21</f>
        <v/>
      </c>
      <c r="D7" s="33">
        <f>B7*C7</f>
        <v/>
      </c>
      <c r="E7" s="34">
        <f>Paramètres!$H$8/365</f>
        <v/>
      </c>
      <c r="F7" s="33">
        <f>D7*E7</f>
        <v/>
      </c>
    </row>
    <row r="8" ht="15.05" customHeight="1">
      <c r="A8" s="31" t="inlineStr">
        <is>
          <t>Gaz</t>
        </is>
      </c>
      <c r="B8" s="32">
        <f>Paramètres!$C$8/Paramètres!$C$3</f>
        <v/>
      </c>
      <c r="C8" s="33">
        <f>'Récapitulatif 2025'!E32</f>
        <v/>
      </c>
      <c r="D8" s="33">
        <f>B8*C8</f>
        <v/>
      </c>
      <c r="E8" s="34">
        <f>Paramètres!$H$8/365</f>
        <v/>
      </c>
      <c r="F8" s="33">
        <f>D8*E8</f>
        <v/>
      </c>
    </row>
    <row r="9" ht="18" customHeight="1">
      <c r="A9" s="10" t="inlineStr">
        <is>
          <t>Sous-total — FLUIDES</t>
        </is>
      </c>
      <c r="C9" s="11">
        <f>SUM(C6:C8)</f>
        <v/>
      </c>
      <c r="D9" s="11">
        <f>SUM(D6:D8)</f>
        <v/>
      </c>
      <c r="E9" s="35" t="n"/>
      <c r="F9" s="11">
        <f>SUM(F6:F8)</f>
        <v/>
      </c>
    </row>
    <row r="10" ht="18" customHeight="1">
      <c r="A10" s="5" t="inlineStr">
        <is>
          <t>TRAVAUX</t>
        </is>
      </c>
    </row>
    <row r="11" ht="15.05" customHeight="1">
      <c r="A11" s="31" t="inlineStr">
        <is>
          <t>Entretien Courant</t>
        </is>
      </c>
      <c r="B11" s="32">
        <f>Paramètres!$C$8/Paramètres!$C$3</f>
        <v/>
      </c>
      <c r="C11" s="33">
        <f>'Récapitulatif 2025'!E37</f>
        <v/>
      </c>
      <c r="D11" s="33">
        <f>B11*C11</f>
        <v/>
      </c>
      <c r="E11" s="34">
        <f>Paramètres!$H$8/365</f>
        <v/>
      </c>
      <c r="F11" s="33">
        <f>D11*E11</f>
        <v/>
      </c>
    </row>
    <row r="12" ht="18" customHeight="1">
      <c r="A12" s="10" t="inlineStr">
        <is>
          <t>Sous-total — TRAVAUX</t>
        </is>
      </c>
      <c r="C12" s="11">
        <f>SUM(C11:C11)</f>
        <v/>
      </c>
      <c r="D12" s="11">
        <f>SUM(D11:D11)</f>
        <v/>
      </c>
      <c r="E12" s="35" t="n"/>
      <c r="F12" s="11">
        <f>SUM(F11:F11)</f>
        <v/>
      </c>
    </row>
    <row r="13" ht="18" customHeight="1">
      <c r="A13" s="5" t="inlineStr">
        <is>
          <t>CONTRAT MAINTENANCE</t>
        </is>
      </c>
    </row>
    <row r="14" ht="15.05" customHeight="1">
      <c r="A14" s="31" t="inlineStr">
        <is>
          <t>Espaces Verts</t>
        </is>
      </c>
      <c r="B14" s="32">
        <f>Paramètres!$C$8/Paramètres!$C$3</f>
        <v/>
      </c>
      <c r="C14" s="33">
        <f>'Récapitulatif 2025'!E46</f>
        <v/>
      </c>
      <c r="D14" s="33">
        <f>B14*C14</f>
        <v/>
      </c>
      <c r="E14" s="34">
        <f>Paramètres!$H$8/365</f>
        <v/>
      </c>
      <c r="F14" s="33">
        <f>D14*E14</f>
        <v/>
      </c>
    </row>
    <row r="15" ht="15.05" customHeight="1">
      <c r="A15" s="31" t="inlineStr">
        <is>
          <t>CVC</t>
        </is>
      </c>
      <c r="B15" s="32">
        <f>Paramètres!$C$8/Paramètres!$C$3</f>
        <v/>
      </c>
      <c r="C15" s="33">
        <f>'Récapitulatif 2025'!E50</f>
        <v/>
      </c>
      <c r="D15" s="33">
        <f>B15*C15</f>
        <v/>
      </c>
      <c r="E15" s="34">
        <f>Paramètres!$H$8/365</f>
        <v/>
      </c>
      <c r="F15" s="33">
        <f>D15*E15</f>
        <v/>
      </c>
    </row>
    <row r="16" ht="15.05" customHeight="1">
      <c r="A16" s="31" t="inlineStr">
        <is>
          <t>Sécurité</t>
        </is>
      </c>
      <c r="B16" s="32">
        <f>Paramètres!$C$8/Paramètres!$C$3</f>
        <v/>
      </c>
      <c r="C16" s="33">
        <f>'Récapitulatif 2025'!E54</f>
        <v/>
      </c>
      <c r="D16" s="33">
        <f>B16*C16</f>
        <v/>
      </c>
      <c r="E16" s="34">
        <f>Paramètres!$H$8/365</f>
        <v/>
      </c>
      <c r="F16" s="33">
        <f>D16*E16</f>
        <v/>
      </c>
    </row>
    <row r="17" ht="15.05" customHeight="1">
      <c r="A17" s="31" t="inlineStr">
        <is>
          <t>SSI</t>
        </is>
      </c>
      <c r="B17" s="32">
        <f>Paramètres!$C$8/Paramètres!$C$3</f>
        <v/>
      </c>
      <c r="C17" s="33">
        <f>'Récapitulatif 2025'!E59</f>
        <v/>
      </c>
      <c r="D17" s="33">
        <f>B17*C17</f>
        <v/>
      </c>
      <c r="E17" s="34">
        <f>Paramètres!$H$8/365</f>
        <v/>
      </c>
      <c r="F17" s="33">
        <f>D17*E17</f>
        <v/>
      </c>
    </row>
    <row r="18" ht="15.05" customHeight="1">
      <c r="A18" s="31" t="inlineStr">
        <is>
          <t>Toitures</t>
        </is>
      </c>
      <c r="B18" s="32">
        <f>Paramètres!$C$8/Paramètres!$C$3</f>
        <v/>
      </c>
      <c r="C18" s="33">
        <f>'Récapitulatif 2025'!E64</f>
        <v/>
      </c>
      <c r="D18" s="33">
        <f>B18*C18</f>
        <v/>
      </c>
      <c r="E18" s="34">
        <f>Paramètres!$H$8/365</f>
        <v/>
      </c>
      <c r="F18" s="33">
        <f>D18*E18</f>
        <v/>
      </c>
    </row>
    <row r="19" ht="15.05" customHeight="1">
      <c r="A19" s="31" t="inlineStr">
        <is>
          <t>SPK / RIA / PI</t>
        </is>
      </c>
      <c r="B19" s="32">
        <f>Paramètres!$C$8/Paramètres!$C$3</f>
        <v/>
      </c>
      <c r="C19" s="33">
        <f>'Récapitulatif 2025'!E77</f>
        <v/>
      </c>
      <c r="D19" s="33">
        <f>B19*C19</f>
        <v/>
      </c>
      <c r="E19" s="34">
        <f>Paramètres!$H$8/365</f>
        <v/>
      </c>
      <c r="F19" s="33">
        <f>D19*E19</f>
        <v/>
      </c>
    </row>
    <row r="20" ht="15.05" customHeight="1">
      <c r="A20" s="31" t="inlineStr">
        <is>
          <t>Installations électriques</t>
        </is>
      </c>
      <c r="B20" s="32">
        <f>Paramètres!$C$8/35730.0</f>
        <v/>
      </c>
      <c r="C20" s="33">
        <f>'Récapitulatif 2025'!E83</f>
        <v/>
      </c>
      <c r="D20" s="33">
        <f>B20*C20</f>
        <v/>
      </c>
      <c r="E20" s="34">
        <f>Paramètres!$H$8/365</f>
        <v/>
      </c>
      <c r="F20" s="33">
        <f>D20*E20</f>
        <v/>
      </c>
    </row>
    <row r="21" ht="15.05" customHeight="1">
      <c r="A21" s="31" t="inlineStr">
        <is>
          <t>Protection Foudre</t>
        </is>
      </c>
      <c r="B21" s="32">
        <f>Paramètres!$C$8/23820.0</f>
        <v/>
      </c>
      <c r="C21" s="33">
        <f>'Récapitulatif 2025'!E88</f>
        <v/>
      </c>
      <c r="D21" s="33">
        <f>B21*C21</f>
        <v/>
      </c>
      <c r="E21" s="34">
        <f>Paramètres!$H$8/365</f>
        <v/>
      </c>
      <c r="F21" s="33">
        <f>D21*E21</f>
        <v/>
      </c>
    </row>
    <row r="22" ht="15.05" customHeight="1">
      <c r="A22" s="31" t="inlineStr">
        <is>
          <t>GTB</t>
        </is>
      </c>
      <c r="B22" s="32">
        <f>Paramètres!$C$8/Paramètres!$C$3</f>
        <v/>
      </c>
      <c r="C22" s="33">
        <f>'Récapitulatif 2025'!E97</f>
        <v/>
      </c>
      <c r="D22" s="33">
        <f>B22*C22</f>
        <v/>
      </c>
      <c r="E22" s="34">
        <f>Paramètres!$H$8/365</f>
        <v/>
      </c>
      <c r="F22" s="33">
        <f>D22*E22</f>
        <v/>
      </c>
    </row>
    <row r="23" ht="15.05" customHeight="1">
      <c r="A23" s="31" t="inlineStr">
        <is>
          <t>Détection Gaz</t>
        </is>
      </c>
      <c r="B23" s="32">
        <f>Paramètres!$C$8/Paramètres!$C$3</f>
        <v/>
      </c>
      <c r="C23" s="33">
        <f>'Récapitulatif 2025'!E101</f>
        <v/>
      </c>
      <c r="D23" s="33">
        <f>B23*C23</f>
        <v/>
      </c>
      <c r="E23" s="34">
        <f>Paramètres!$H$8/365</f>
        <v/>
      </c>
      <c r="F23" s="33">
        <f>D23*E23</f>
        <v/>
      </c>
    </row>
    <row r="24" ht="15.05" customHeight="1">
      <c r="A24" s="31" t="inlineStr">
        <is>
          <t>Vérifications règlementaires</t>
        </is>
      </c>
      <c r="B24" s="32">
        <f>Paramètres!$C$8/19945.0</f>
        <v/>
      </c>
      <c r="C24" s="33">
        <f>'Récapitulatif 2025'!E104</f>
        <v/>
      </c>
      <c r="D24" s="33">
        <f>B24*C24</f>
        <v/>
      </c>
      <c r="E24" s="34">
        <f>Paramètres!$H$8/365</f>
        <v/>
      </c>
      <c r="F24" s="33">
        <f>D24*E24</f>
        <v/>
      </c>
    </row>
    <row r="25" ht="15.05" customHeight="1">
      <c r="A25" s="31" t="inlineStr">
        <is>
          <t>Portails</t>
        </is>
      </c>
      <c r="B25" s="32">
        <f>Paramètres!$C$8/Paramètres!$C$3</f>
        <v/>
      </c>
      <c r="C25" s="33">
        <f>'Récapitulatif 2025'!E107</f>
        <v/>
      </c>
      <c r="D25" s="33">
        <f>B25*C25</f>
        <v/>
      </c>
      <c r="E25" s="34">
        <f>Paramètres!$H$8/365</f>
        <v/>
      </c>
      <c r="F25" s="33">
        <f>D25*E25</f>
        <v/>
      </c>
    </row>
    <row r="26" ht="18" customHeight="1">
      <c r="A26" s="10" t="inlineStr">
        <is>
          <t>Sous-total — CONTRAT MAINTENANCE</t>
        </is>
      </c>
      <c r="C26" s="11">
        <f>SUM(C14:C25)</f>
        <v/>
      </c>
      <c r="D26" s="11">
        <f>SUM(D14:D25)</f>
        <v/>
      </c>
      <c r="E26" s="35" t="n"/>
      <c r="F26" s="11">
        <f>SUM(F14:F25)</f>
        <v/>
      </c>
    </row>
    <row r="27" ht="18" customHeight="1">
      <c r="A27" s="5" t="inlineStr">
        <is>
          <t>ASSURANCES + JURIDIQUE</t>
        </is>
      </c>
    </row>
    <row r="28" ht="15.05" customHeight="1">
      <c r="A28" s="31" t="inlineStr">
        <is>
          <t>Assurances</t>
        </is>
      </c>
      <c r="B28" s="32">
        <f>Paramètres!$C$8/Paramètres!$C$3</f>
        <v/>
      </c>
      <c r="C28" s="33">
        <f>'Récapitulatif 2025'!E111</f>
        <v/>
      </c>
      <c r="D28" s="33">
        <f>B28*C28</f>
        <v/>
      </c>
      <c r="E28" s="34">
        <f>Paramètres!$H$8/365</f>
        <v/>
      </c>
      <c r="F28" s="33">
        <f>D28*E28</f>
        <v/>
      </c>
    </row>
    <row r="29" ht="18" customHeight="1">
      <c r="A29" s="10" t="inlineStr">
        <is>
          <t>Sous-total — ASSURANCES + JURIDIQUE</t>
        </is>
      </c>
      <c r="C29" s="11">
        <f>SUM(C28:C28)</f>
        <v/>
      </c>
      <c r="D29" s="11">
        <f>SUM(D28:D28)</f>
        <v/>
      </c>
      <c r="E29" s="35" t="n"/>
      <c r="F29" s="11">
        <f>SUM(F28:F28)</f>
        <v/>
      </c>
    </row>
    <row r="30" ht="6" customHeight="1"/>
    <row r="31" ht="18" customHeight="1">
      <c r="A31" s="5" t="inlineStr">
        <is>
          <t>HONORAIRES</t>
        </is>
      </c>
    </row>
    <row r="32" ht="15.05" customHeight="1">
      <c r="A32" s="31" t="inlineStr">
        <is>
          <t>Honoraires Gestion Technique</t>
        </is>
      </c>
      <c r="D32" s="36" t="n"/>
      <c r="E32" s="37" t="n">
        <v>1</v>
      </c>
      <c r="F32" s="33">
        <f>IF(D32="","",D32*E32)</f>
        <v/>
      </c>
    </row>
    <row r="33" ht="18" customHeight="1">
      <c r="A33" s="10" t="inlineStr">
        <is>
          <t>Sous-total — HONORAIRES</t>
        </is>
      </c>
      <c r="C33" s="11">
        <f>SUM(C32:C32)</f>
        <v/>
      </c>
      <c r="D33" s="11">
        <f>SUM(D32:D32)</f>
        <v/>
      </c>
      <c r="E33" s="35" t="n"/>
      <c r="F33" s="11">
        <f>SUM(F32:F32)</f>
        <v/>
      </c>
    </row>
    <row r="34" ht="7.55" customHeight="1"/>
    <row r="35" ht="21.75" customHeight="1">
      <c r="A35" s="15" t="inlineStr">
        <is>
          <t>TOTAL CHARGES RÉCUPÉRABLES RÉELLES (€ HT)</t>
        </is>
      </c>
      <c r="C35" s="16">
        <f>C9+C12+C26+C29+C33</f>
        <v/>
      </c>
      <c r="D35" s="16">
        <f>D9+D12+D26+D29+D33</f>
        <v/>
      </c>
      <c r="E35" s="38" t="n"/>
      <c r="F35" s="16">
        <f>F9+F12+F26+F29+F33</f>
        <v/>
      </c>
    </row>
    <row r="36" ht="7.55" customHeight="1"/>
    <row r="37" ht="19.55" customHeight="1">
      <c r="A37" s="5" t="inlineStr">
        <is>
          <t>Provisions pour charges versées</t>
        </is>
      </c>
      <c r="C37" s="39" t="n"/>
      <c r="D37" s="27" t="inlineStr">
        <is>
          <t>Montant annuel (€)</t>
        </is>
      </c>
      <c r="E37" s="39" t="n"/>
      <c r="F37" s="27" t="inlineStr">
        <is>
          <t>Montant locataire (€)</t>
        </is>
      </c>
    </row>
    <row r="38" ht="15.8" customHeight="1">
      <c r="A38" s="21" t="inlineStr">
        <is>
          <t xml:space="preserve">  1er trimestre (T1)</t>
        </is>
      </c>
    </row>
    <row r="39" ht="15.8" customHeight="1">
      <c r="A39" s="21" t="inlineStr">
        <is>
          <t xml:space="preserve">  2e trimestre (T2)</t>
        </is>
      </c>
    </row>
    <row r="40" ht="15.8" customHeight="1">
      <c r="A40" s="21" t="inlineStr">
        <is>
          <t xml:space="preserve">  3e trimestre (T3)</t>
        </is>
      </c>
    </row>
    <row r="41" ht="15.8" customHeight="1">
      <c r="A41" s="21" t="inlineStr">
        <is>
          <t xml:space="preserve">  4e trimestre (T4)</t>
        </is>
      </c>
    </row>
    <row r="42" ht="18" customHeight="1">
      <c r="A42" s="10" t="inlineStr">
        <is>
          <t>Total provisions pour charges versées →</t>
        </is>
      </c>
      <c r="D42" s="11">
        <f>SUM(D38:D41)</f>
        <v/>
      </c>
      <c r="E42" s="35" t="n"/>
      <c r="F42" s="11">
        <f>SUM(F38:F41)</f>
        <v/>
      </c>
    </row>
    <row r="43" ht="7.55" customHeight="1"/>
    <row r="44" ht="21.75" customHeight="1">
      <c r="A44" s="40">
        <f>IF(F35-F42&gt;0,"SOLDE DÉBITEUR","SOLDE CRÉDITEUR")</f>
        <v/>
      </c>
      <c r="D44" s="41">
        <f>D35-D42</f>
        <v/>
      </c>
      <c r="E44" s="39" t="n"/>
      <c r="F44" s="41">
        <f>F35-F42</f>
        <v/>
      </c>
    </row>
    <row r="46" ht="27.75" customHeight="1">
      <c r="A46" s="42" t="inlineStr">
        <is>
          <t>ℹ  Clé répartition = surface lot ÷ surface totale site. Période = nombre de jours d'occupation ÷ 365.</t>
        </is>
      </c>
    </row>
  </sheetData>
  <mergeCells count="18">
    <mergeCell ref="A2:F2"/>
    <mergeCell ref="A26:B26"/>
    <mergeCell ref="A42:C42"/>
    <mergeCell ref="A10:F10"/>
    <mergeCell ref="A29:B29"/>
    <mergeCell ref="A44:C44"/>
    <mergeCell ref="A13:F13"/>
    <mergeCell ref="A46:F46"/>
    <mergeCell ref="A33:B33"/>
    <mergeCell ref="A9:B9"/>
    <mergeCell ref="A1:F1"/>
    <mergeCell ref="A5:F5"/>
    <mergeCell ref="A27:F27"/>
    <mergeCell ref="A31:F31"/>
    <mergeCell ref="A37:B37"/>
    <mergeCell ref="A3:F3"/>
    <mergeCell ref="A35:B35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8" customWidth="1" min="4" max="4"/>
    <col width="15" customWidth="1" min="5" max="5"/>
    <col width="18" customWidth="1" min="6" max="6"/>
  </cols>
  <sheetData>
    <row r="1" ht="25.55" customHeight="1">
      <c r="A1" s="30" t="inlineStr">
        <is>
          <t>ORMES A — COÛT DE LA VACANCE LOCATIVE 2025</t>
        </is>
      </c>
    </row>
    <row r="2" ht="15.8" customHeight="1">
      <c r="A2" s="2" t="inlineStr">
        <is>
          <t>Estimation de la perte de charges non récupérées sur les lots vacants</t>
        </is>
      </c>
    </row>
    <row r="3" ht="6" customHeight="1"/>
    <row r="4" ht="24" customHeight="1">
      <c r="A4" s="3" t="inlineStr">
        <is>
          <t>Lot</t>
        </is>
      </c>
      <c r="B4" s="3" t="inlineStr">
        <is>
          <t>Statut</t>
        </is>
      </c>
      <c r="C4" s="3" t="inlineStr">
        <is>
          <t>Surface (m²)</t>
        </is>
      </c>
      <c r="D4" s="3" t="inlineStr">
        <is>
          <t>QP annuelle (€ HT)</t>
        </is>
      </c>
      <c r="E4" s="3" t="inlineStr">
        <is>
          <t>Période (j/365)</t>
        </is>
      </c>
      <c r="F4" s="3" t="inlineStr">
        <is>
          <t>Coût vacance (€ HT)</t>
        </is>
      </c>
    </row>
    <row r="5" ht="18" customHeight="1">
      <c r="A5" s="43">
        <f>Paramètres!A7</f>
        <v/>
      </c>
      <c r="B5" s="20">
        <f>Paramètres!B7</f>
        <v/>
      </c>
      <c r="C5" s="44">
        <f>Paramètres!C7</f>
        <v/>
      </c>
      <c r="D5" s="33">
        <f>'C1 C2'!D35</f>
        <v/>
      </c>
      <c r="E5" s="34">
        <f>Paramètres!H7/365</f>
        <v/>
      </c>
      <c r="F5" s="29">
        <f>IF(Paramètres!B7="Vacant",'C1 C2'!D35,'C1 C2'!D35-'C1 C2'!F35)</f>
        <v/>
      </c>
    </row>
    <row r="6" ht="18" customHeight="1">
      <c r="A6" s="43">
        <f>Paramètres!A8</f>
        <v/>
      </c>
      <c r="B6" s="20">
        <f>Paramètres!B8</f>
        <v/>
      </c>
      <c r="C6" s="44">
        <f>Paramètres!C8</f>
        <v/>
      </c>
      <c r="D6" s="33">
        <f>'C3 C4 C5'!D35</f>
        <v/>
      </c>
      <c r="E6" s="34">
        <f>Paramètres!H8/365</f>
        <v/>
      </c>
      <c r="F6" s="29">
        <f>IF(Paramètres!B8="Vacant",'C3 C4 C5'!D35,'C3 C4 C5'!D35-'C3 C4 C5'!F35)</f>
        <v/>
      </c>
    </row>
    <row r="7" ht="6" customHeight="1"/>
    <row r="8" ht="18" customHeight="1">
      <c r="A8" s="10" t="inlineStr">
        <is>
          <t>Total QP charges (tous lots)</t>
        </is>
      </c>
      <c r="D8" s="11">
        <f>SUM(D5:D6)</f>
        <v/>
      </c>
      <c r="E8" s="35" t="n"/>
      <c r="F8" s="35" t="n"/>
    </row>
    <row r="9" ht="18" customHeight="1">
      <c r="A9" s="10" t="inlineStr">
        <is>
          <t>Nombre de lots vacants</t>
        </is>
      </c>
      <c r="D9" s="45">
        <f>COUNTIF(B5:B6,"Vacant")</f>
        <v/>
      </c>
      <c r="E9" s="35" t="n"/>
      <c r="F9" s="35" t="n"/>
    </row>
    <row r="10" ht="6" customHeight="1"/>
    <row r="11" ht="19.55" customHeight="1">
      <c r="A11" s="46" t="inlineStr">
        <is>
          <t>Charges non récupérables (Frais Bancaires + CAPEX)</t>
        </is>
      </c>
      <c r="F11" s="47">
        <f>'Récapitulatif 2025'!E118</f>
        <v/>
      </c>
    </row>
    <row r="12" ht="6" customHeight="1"/>
    <row r="13" ht="25.55" customHeight="1">
      <c r="A13" s="48" t="inlineStr">
        <is>
          <t>TOTAL COÛT DE LA VACANCE LOCATIVE (€ HT)</t>
        </is>
      </c>
      <c r="F13" s="49">
        <f>F5+F6+F11</f>
        <v/>
      </c>
    </row>
    <row r="14" ht="6" customHeight="1"/>
    <row r="15" ht="19.55" customHeight="1">
      <c r="A15" s="10" t="inlineStr">
        <is>
          <t>Part vacance sur total charges site</t>
        </is>
      </c>
      <c r="F15" s="50">
        <f>IF(D8&gt;0,F13/D8,0)</f>
        <v/>
      </c>
    </row>
    <row r="16" ht="6" customHeight="1"/>
    <row r="17" ht="27.75" customHeight="1">
      <c r="A17" s="42" t="inlineStr">
        <is>
          <t>ℹ  QP annuelle = Total site HT × clé de répartition. Coût vacance = QP annuelle × fraction de l'année non occupée.</t>
        </is>
      </c>
    </row>
  </sheetData>
  <mergeCells count="8">
    <mergeCell ref="A2:F2"/>
    <mergeCell ref="A15:E15"/>
    <mergeCell ref="A8:C8"/>
    <mergeCell ref="A1:F1"/>
    <mergeCell ref="A11:E11"/>
    <mergeCell ref="A9:C9"/>
    <mergeCell ref="A17:F17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2026-05-07T14:29:59Z</dcterms:created>
  <dcterms:modified xsi:type="dcterms:W3CDTF">2026-05-07T14:29:59Z</dcterms:modified>
</cp:coreProperties>
</file>